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5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drawings/drawing1.xml" ContentType="application/vnd.openxmlformats-officedocument.drawing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worksheets/sheet1.xml" ContentType="application/vnd.openxmlformats-officedocument.spreadsheetml.work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drawings/drawing11.xml" ContentType="application/vnd.openxmlformats-officedocument.drawingml.chartshapes+xml"/>
  <Override PartName="/xl/drawings/drawing12.xml" ContentType="application/vnd.openxmlformats-officedocument.drawing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heets/sheet1.xml" ContentType="application/vnd.openxmlformats-officedocument.spreadsheetml.chart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ml.chartshapes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ml.chartshapes+xml"/>
  <Override PartName="/xl/charts/chart3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45" windowWidth="12420" windowHeight="8790" firstSheet="24" activeTab="26"/>
  </bookViews>
  <sheets>
    <sheet name="Description" sheetId="2" r:id="rId1"/>
    <sheet name="Table 1 - Quality of estimates" sheetId="4" r:id="rId2"/>
    <sheet name="Table 2 - Adoption lags and fit" sheetId="16" r:id="rId3"/>
    <sheet name="Table 3 - ANOVA" sheetId="18" r:id="rId4"/>
    <sheet name="Table 4 - Robustness" sheetId="33" r:id="rId5"/>
    <sheet name="Table 5 - Groups" sheetId="19" r:id="rId6"/>
    <sheet name="Table 6 - EATs" sheetId="34" r:id="rId7"/>
    <sheet name="Chart - Example" sheetId="38" r:id="rId8"/>
    <sheet name="Chart - Fit" sheetId="24" r:id="rId9"/>
    <sheet name="Chart - Technology FEs" sheetId="9" r:id="rId10"/>
    <sheet name="Chart - TFP differentials KRC" sheetId="12" state="hidden" r:id="rId11"/>
    <sheet name="Chart - TFP differentials HJ" sheetId="14" state="hidden" r:id="rId12"/>
    <sheet name="Chart - GDP differentials" sheetId="22" r:id="rId13"/>
    <sheet name="Chart - US Fit" sheetId="30" r:id="rId14"/>
    <sheet name="TFP" sheetId="5" r:id="rId15"/>
    <sheet name="Technology FEs table" sheetId="8" r:id="rId16"/>
    <sheet name="US Fit plumbing" sheetId="29" r:id="rId17"/>
    <sheet name="Estimates quality" sheetId="15" r:id="rId18"/>
    <sheet name="Technology sum stats table" sheetId="10" r:id="rId19"/>
    <sheet name="Technology FEs" sheetId="6" r:id="rId20"/>
    <sheet name="Country FEs" sheetId="7" r:id="rId21"/>
    <sheet name="Technology R2s" sheetId="17" r:id="rId22"/>
    <sheet name="Robustness results" sheetId="36" r:id="rId23"/>
    <sheet name="Groups results" sheetId="20" r:id="rId24"/>
    <sheet name="EAT results" sheetId="37" r:id="rId25"/>
    <sheet name="Example data" sheetId="35" r:id="rId26"/>
    <sheet name="Fit data" sheetId="23" r:id="rId27"/>
    <sheet name="US Fit data" sheetId="28" r:id="rId28"/>
    <sheet name="Dev Acc 2000" sheetId="13" r:id="rId29"/>
    <sheet name="Klenow - RC" sheetId="11" r:id="rId30"/>
    <sheet name="List of Technologies" sheetId="31" r:id="rId31"/>
    <sheet name="List of countries" sheetId="3" r:id="rId32"/>
  </sheets>
  <functionGroups/>
  <definedNames>
    <definedName name="CountryFEs">'Country FEs'!$L$3:$R$168</definedName>
    <definedName name="EATtable">'EAT results'!$B$2:$F$5</definedName>
    <definedName name="Robustnesspt1">'Robustness results'!$B$2:$J$18</definedName>
    <definedName name="Robustnesspt2">'Robustness results'!$B$21:$D$36</definedName>
    <definedName name="Robustnesspt3">'Robustness results'!#REF!</definedName>
    <definedName name="Rsquaredpt1">'Technology R2s'!$A$2:$E$17</definedName>
    <definedName name="Rsquaredpt2">'Technology R2s'!$A$20:$I$35</definedName>
    <definedName name="Technology_names">'List of Technologies'!$F$1:$F$15</definedName>
    <definedName name="US_avg_adoption_lag">'Country FEs'!$C$157</definedName>
    <definedName name="USFit_data">'US Fit data'!$A$4:$AS$165</definedName>
  </definedNames>
  <calcPr calcId="125725"/>
</workbook>
</file>

<file path=xl/calcChain.xml><?xml version="1.0" encoding="utf-8"?>
<calcChain xmlns="http://schemas.openxmlformats.org/spreadsheetml/2006/main">
  <c r="L27" i="4"/>
  <c r="L25"/>
  <c r="L23"/>
  <c r="L21"/>
  <c r="L19"/>
  <c r="L18"/>
  <c r="L16"/>
  <c r="L15"/>
  <c r="L14"/>
  <c r="L12"/>
  <c r="L11"/>
  <c r="L10"/>
  <c r="L9"/>
  <c r="L8"/>
  <c r="L7"/>
  <c r="L6"/>
  <c r="K27"/>
  <c r="K25"/>
  <c r="K23"/>
  <c r="K21"/>
  <c r="K19"/>
  <c r="K18"/>
  <c r="K16"/>
  <c r="K15"/>
  <c r="K14"/>
  <c r="K12"/>
  <c r="K11"/>
  <c r="K10"/>
  <c r="K9"/>
  <c r="K8"/>
  <c r="K7"/>
  <c r="K6"/>
  <c r="J27"/>
  <c r="J25"/>
  <c r="J23"/>
  <c r="J21"/>
  <c r="J19"/>
  <c r="J18"/>
  <c r="J16"/>
  <c r="J15"/>
  <c r="J14"/>
  <c r="J12"/>
  <c r="J11"/>
  <c r="J10"/>
  <c r="J9"/>
  <c r="J8"/>
  <c r="J7"/>
  <c r="J6"/>
  <c r="A162" i="29"/>
  <c r="A163" s="1"/>
  <c r="I54" i="23"/>
  <c r="H54"/>
  <c r="I13"/>
  <c r="I12"/>
  <c r="I11"/>
  <c r="I10"/>
  <c r="I9"/>
  <c r="I8"/>
  <c r="I7"/>
  <c r="I6"/>
  <c r="I5"/>
  <c r="I3"/>
  <c r="I2"/>
  <c r="F16"/>
  <c r="E16"/>
  <c r="F15"/>
  <c r="E15"/>
  <c r="F14"/>
  <c r="E14"/>
  <c r="F13"/>
  <c r="E13"/>
  <c r="C139"/>
  <c r="B139"/>
  <c r="C138"/>
  <c r="B138"/>
  <c r="C51"/>
  <c r="B51"/>
  <c r="C41"/>
  <c r="C40"/>
  <c r="C39"/>
  <c r="C38"/>
  <c r="C37"/>
  <c r="C36"/>
  <c r="C35"/>
  <c r="C34"/>
  <c r="C33"/>
  <c r="C31"/>
  <c r="C30"/>
  <c r="C29"/>
  <c r="C28"/>
  <c r="C27"/>
  <c r="C26"/>
  <c r="C25"/>
  <c r="C24"/>
  <c r="C23"/>
  <c r="C21"/>
  <c r="C20"/>
  <c r="C19"/>
  <c r="C18"/>
  <c r="C17"/>
  <c r="C16"/>
  <c r="C15"/>
  <c r="C14"/>
  <c r="C13"/>
  <c r="C11"/>
  <c r="C10"/>
  <c r="C9"/>
  <c r="C8"/>
  <c r="C7"/>
  <c r="C6"/>
  <c r="C5"/>
  <c r="C4"/>
  <c r="C3"/>
  <c r="G218" i="35"/>
  <c r="F218"/>
  <c r="E218"/>
  <c r="D218"/>
  <c r="C218"/>
  <c r="B218"/>
  <c r="G217"/>
  <c r="F217"/>
  <c r="E217"/>
  <c r="D217"/>
  <c r="C217"/>
  <c r="B217"/>
  <c r="G216"/>
  <c r="F216"/>
  <c r="E216"/>
  <c r="D216"/>
  <c r="C216"/>
  <c r="B216"/>
  <c r="G215"/>
  <c r="F215"/>
  <c r="G214"/>
  <c r="F214"/>
  <c r="G213"/>
  <c r="F213"/>
  <c r="G212"/>
  <c r="F212"/>
  <c r="G211"/>
  <c r="F211"/>
  <c r="G210"/>
  <c r="F210"/>
  <c r="G209"/>
  <c r="F209"/>
  <c r="G208"/>
  <c r="F208"/>
  <c r="C151"/>
  <c r="C150"/>
  <c r="C149"/>
  <c r="C148"/>
  <c r="C147"/>
  <c r="C146"/>
  <c r="C145"/>
  <c r="C144"/>
  <c r="C143"/>
  <c r="C142"/>
  <c r="C141"/>
  <c r="C140"/>
  <c r="C139"/>
  <c r="C138"/>
  <c r="E137"/>
  <c r="C137"/>
  <c r="E136"/>
  <c r="C136"/>
  <c r="E135"/>
  <c r="C135"/>
  <c r="E134"/>
  <c r="C134"/>
  <c r="G133"/>
  <c r="E133"/>
  <c r="D133"/>
  <c r="C133"/>
  <c r="G132"/>
  <c r="E132"/>
  <c r="D132"/>
  <c r="C132"/>
  <c r="E131"/>
  <c r="D131"/>
  <c r="C131"/>
  <c r="G130"/>
  <c r="E130"/>
  <c r="D130"/>
  <c r="C130"/>
  <c r="G129"/>
  <c r="E129"/>
  <c r="D129"/>
  <c r="C129"/>
  <c r="G128"/>
  <c r="E128"/>
  <c r="D128"/>
  <c r="C128"/>
  <c r="G127"/>
  <c r="E127"/>
  <c r="D127"/>
  <c r="C127"/>
  <c r="E126"/>
  <c r="D126"/>
  <c r="C126"/>
  <c r="G125"/>
  <c r="E125"/>
  <c r="D125"/>
  <c r="C125"/>
  <c r="G124"/>
  <c r="E124"/>
  <c r="D124"/>
  <c r="C124"/>
  <c r="G123"/>
  <c r="E123"/>
  <c r="D123"/>
  <c r="C123"/>
  <c r="G122"/>
  <c r="E122"/>
  <c r="D122"/>
  <c r="C122"/>
  <c r="E121"/>
  <c r="D121"/>
  <c r="C121"/>
  <c r="G120"/>
  <c r="E120"/>
  <c r="D120"/>
  <c r="C120"/>
  <c r="B120"/>
  <c r="G119"/>
  <c r="E119"/>
  <c r="D119"/>
  <c r="C119"/>
  <c r="B119"/>
  <c r="G118"/>
  <c r="E118"/>
  <c r="D118"/>
  <c r="C118"/>
  <c r="B118"/>
  <c r="G117"/>
  <c r="E117"/>
  <c r="D117"/>
  <c r="C117"/>
  <c r="B117"/>
  <c r="E116"/>
  <c r="D116"/>
  <c r="C116"/>
  <c r="B116"/>
  <c r="G115"/>
  <c r="E115"/>
  <c r="D115"/>
  <c r="C115"/>
  <c r="B115"/>
  <c r="G114"/>
  <c r="E114"/>
  <c r="D114"/>
  <c r="C114"/>
  <c r="B114"/>
  <c r="G113"/>
  <c r="E113"/>
  <c r="D113"/>
  <c r="C113"/>
  <c r="B113"/>
  <c r="G112"/>
  <c r="E112"/>
  <c r="D112"/>
  <c r="C112"/>
  <c r="B112"/>
  <c r="G111"/>
  <c r="E111"/>
  <c r="D111"/>
  <c r="C111"/>
  <c r="B111"/>
  <c r="G110"/>
  <c r="E110"/>
  <c r="D110"/>
  <c r="C110"/>
  <c r="B110"/>
  <c r="G109"/>
  <c r="F109"/>
  <c r="E109"/>
  <c r="D109"/>
  <c r="C109"/>
  <c r="B109"/>
  <c r="G108"/>
  <c r="F108"/>
  <c r="E108"/>
  <c r="D108"/>
  <c r="C108"/>
  <c r="B108"/>
  <c r="G107"/>
  <c r="F107"/>
  <c r="E107"/>
  <c r="D107"/>
  <c r="C107"/>
  <c r="B107"/>
  <c r="G106"/>
  <c r="F106"/>
  <c r="E106"/>
  <c r="D106"/>
  <c r="C106"/>
  <c r="B106"/>
  <c r="G105"/>
  <c r="F105"/>
  <c r="E105"/>
  <c r="D105"/>
  <c r="C105"/>
  <c r="B105"/>
  <c r="G104"/>
  <c r="F104"/>
  <c r="E104"/>
  <c r="D104"/>
  <c r="C104"/>
  <c r="B104"/>
  <c r="G103"/>
  <c r="F103"/>
  <c r="E103"/>
  <c r="D103"/>
  <c r="C103"/>
  <c r="B103"/>
  <c r="G102"/>
  <c r="F102"/>
  <c r="E102"/>
  <c r="D102"/>
  <c r="C102"/>
  <c r="B102"/>
  <c r="G101"/>
  <c r="F101"/>
  <c r="E101"/>
  <c r="D101"/>
  <c r="C101"/>
  <c r="B101"/>
  <c r="G100"/>
  <c r="F100"/>
  <c r="E100"/>
  <c r="D100"/>
  <c r="C100"/>
  <c r="B100"/>
  <c r="G99"/>
  <c r="F99"/>
  <c r="E99"/>
  <c r="D99"/>
  <c r="C99"/>
  <c r="B99"/>
  <c r="G98"/>
  <c r="F98"/>
  <c r="E98"/>
  <c r="D98"/>
  <c r="C98"/>
  <c r="B98"/>
  <c r="G97"/>
  <c r="F97"/>
  <c r="E97"/>
  <c r="D97"/>
  <c r="C97"/>
  <c r="B97"/>
  <c r="G96"/>
  <c r="F96"/>
  <c r="E96"/>
  <c r="D96"/>
  <c r="C96"/>
  <c r="B96"/>
  <c r="G95"/>
  <c r="F95"/>
  <c r="E95"/>
  <c r="D95"/>
  <c r="C95"/>
  <c r="B95"/>
  <c r="G94"/>
  <c r="F94"/>
  <c r="E94"/>
  <c r="D94"/>
  <c r="C94"/>
  <c r="B94"/>
  <c r="G93"/>
  <c r="F93"/>
  <c r="E93"/>
  <c r="D93"/>
  <c r="C93"/>
  <c r="B93"/>
  <c r="G92"/>
  <c r="F92"/>
  <c r="E92"/>
  <c r="D92"/>
  <c r="C92"/>
  <c r="B92"/>
  <c r="G91"/>
  <c r="F91"/>
  <c r="E91"/>
  <c r="D91"/>
  <c r="C91"/>
  <c r="B91"/>
  <c r="G90"/>
  <c r="F90"/>
  <c r="E90"/>
  <c r="D90"/>
  <c r="C90"/>
  <c r="B90"/>
  <c r="G89"/>
  <c r="F89"/>
  <c r="E89"/>
  <c r="D89"/>
  <c r="C89"/>
  <c r="B89"/>
  <c r="G88"/>
  <c r="F88"/>
  <c r="E88"/>
  <c r="D88"/>
  <c r="C88"/>
  <c r="B88"/>
  <c r="G87"/>
  <c r="F87"/>
  <c r="E87"/>
  <c r="D87"/>
  <c r="C87"/>
  <c r="B87"/>
  <c r="G86"/>
  <c r="F86"/>
  <c r="E86"/>
  <c r="D86"/>
  <c r="C86"/>
  <c r="B86"/>
  <c r="G85"/>
  <c r="F85"/>
  <c r="E85"/>
  <c r="D85"/>
  <c r="C85"/>
  <c r="B85"/>
  <c r="G84"/>
  <c r="F84"/>
  <c r="E84"/>
  <c r="D84"/>
  <c r="C84"/>
  <c r="B84"/>
  <c r="G83"/>
  <c r="F83"/>
  <c r="E83"/>
  <c r="D83"/>
  <c r="C83"/>
  <c r="B83"/>
  <c r="G82"/>
  <c r="F82"/>
  <c r="E82"/>
  <c r="D82"/>
  <c r="C82"/>
  <c r="B82"/>
  <c r="G81"/>
  <c r="F81"/>
  <c r="E81"/>
  <c r="D81"/>
  <c r="C81"/>
  <c r="B81"/>
  <c r="G80"/>
  <c r="F80"/>
  <c r="E80"/>
  <c r="D80"/>
  <c r="C80"/>
  <c r="B80"/>
  <c r="G79"/>
  <c r="F79"/>
  <c r="E79"/>
  <c r="D79"/>
  <c r="C79"/>
  <c r="B79"/>
  <c r="G78"/>
  <c r="F78"/>
  <c r="E78"/>
  <c r="D78"/>
  <c r="C78"/>
  <c r="B78"/>
  <c r="G77"/>
  <c r="F77"/>
  <c r="E77"/>
  <c r="D77"/>
  <c r="C77"/>
  <c r="B77"/>
  <c r="G76"/>
  <c r="F76"/>
  <c r="E76"/>
  <c r="D76"/>
  <c r="C76"/>
  <c r="B76"/>
  <c r="G75"/>
  <c r="F75"/>
  <c r="E75"/>
  <c r="D75"/>
  <c r="C75"/>
  <c r="B75"/>
  <c r="G74"/>
  <c r="F74"/>
  <c r="E74"/>
  <c r="D74"/>
  <c r="C74"/>
  <c r="B74"/>
  <c r="G73"/>
  <c r="F73"/>
  <c r="E73"/>
  <c r="D73"/>
  <c r="C73"/>
  <c r="B73"/>
  <c r="G72"/>
  <c r="F72"/>
  <c r="E72"/>
  <c r="D72"/>
  <c r="C72"/>
  <c r="B72"/>
  <c r="G71"/>
  <c r="F71"/>
  <c r="E71"/>
  <c r="D71"/>
  <c r="C71"/>
  <c r="B71"/>
  <c r="G70"/>
  <c r="F70"/>
  <c r="E70"/>
  <c r="D70"/>
  <c r="C70"/>
  <c r="B70"/>
  <c r="G69"/>
  <c r="F69"/>
  <c r="E69"/>
  <c r="D69"/>
  <c r="C69"/>
  <c r="B69"/>
  <c r="G68"/>
  <c r="F68"/>
  <c r="E68"/>
  <c r="D68"/>
  <c r="C68"/>
  <c r="B68"/>
  <c r="G67"/>
  <c r="F67"/>
  <c r="E67"/>
  <c r="D67"/>
  <c r="C67"/>
  <c r="B67"/>
  <c r="G66"/>
  <c r="F66"/>
  <c r="E66"/>
  <c r="D66"/>
  <c r="C66"/>
  <c r="B66"/>
  <c r="G65"/>
  <c r="F65"/>
  <c r="E65"/>
  <c r="D65"/>
  <c r="C65"/>
  <c r="B65"/>
  <c r="G64"/>
  <c r="F64"/>
  <c r="E64"/>
  <c r="D64"/>
  <c r="C64"/>
  <c r="B64"/>
  <c r="G63"/>
  <c r="F63"/>
  <c r="E63"/>
  <c r="D63"/>
  <c r="C63"/>
  <c r="B63"/>
  <c r="G62"/>
  <c r="F62"/>
  <c r="E62"/>
  <c r="D62"/>
  <c r="C62"/>
  <c r="B62"/>
  <c r="G61"/>
  <c r="F61"/>
  <c r="E61"/>
  <c r="D61"/>
  <c r="C61"/>
  <c r="B61"/>
  <c r="G60"/>
  <c r="F60"/>
  <c r="E60"/>
  <c r="D60"/>
  <c r="C60"/>
  <c r="B60"/>
  <c r="G59"/>
  <c r="F59"/>
  <c r="E59"/>
  <c r="D59"/>
  <c r="C59"/>
  <c r="B59"/>
  <c r="G58"/>
  <c r="F58"/>
  <c r="E58"/>
  <c r="D58"/>
  <c r="C58"/>
  <c r="B58"/>
  <c r="G57"/>
  <c r="F57"/>
  <c r="E57"/>
  <c r="D57"/>
  <c r="C57"/>
  <c r="B57"/>
  <c r="G56"/>
  <c r="F56"/>
  <c r="E56"/>
  <c r="D56"/>
  <c r="C56"/>
  <c r="B56"/>
  <c r="G55"/>
  <c r="F55"/>
  <c r="E55"/>
  <c r="D55"/>
  <c r="C55"/>
  <c r="B55"/>
  <c r="G54"/>
  <c r="F54"/>
  <c r="E54"/>
  <c r="D54"/>
  <c r="C54"/>
  <c r="B54"/>
  <c r="G53"/>
  <c r="F53"/>
  <c r="E53"/>
  <c r="D53"/>
  <c r="C53"/>
  <c r="B53"/>
  <c r="G52"/>
  <c r="F52"/>
  <c r="E52"/>
  <c r="D52"/>
  <c r="C52"/>
  <c r="B52"/>
  <c r="G51"/>
  <c r="F51"/>
  <c r="E51"/>
  <c r="D51"/>
  <c r="C51"/>
  <c r="B51"/>
  <c r="G50"/>
  <c r="F50"/>
  <c r="E50"/>
  <c r="D50"/>
  <c r="C50"/>
  <c r="B50"/>
  <c r="G49"/>
  <c r="F49"/>
  <c r="E49"/>
  <c r="D49"/>
  <c r="C49"/>
  <c r="B49"/>
  <c r="G48"/>
  <c r="F48"/>
  <c r="E48"/>
  <c r="D48"/>
  <c r="C48"/>
  <c r="B48"/>
  <c r="G47"/>
  <c r="F47"/>
  <c r="E47"/>
  <c r="D47"/>
  <c r="C47"/>
  <c r="B47"/>
  <c r="G46"/>
  <c r="F46"/>
  <c r="E46"/>
  <c r="D46"/>
  <c r="C46"/>
  <c r="B46"/>
  <c r="G45"/>
  <c r="F45"/>
  <c r="E45"/>
  <c r="D45"/>
  <c r="C45"/>
  <c r="B45"/>
  <c r="G44"/>
  <c r="F44"/>
  <c r="E44"/>
  <c r="D44"/>
  <c r="C44"/>
  <c r="B44"/>
  <c r="G43"/>
  <c r="F43"/>
  <c r="E43"/>
  <c r="D43"/>
  <c r="C43"/>
  <c r="B43"/>
  <c r="G42"/>
  <c r="F42"/>
  <c r="E42"/>
  <c r="D42"/>
  <c r="C42"/>
  <c r="B42"/>
  <c r="G41"/>
  <c r="F41"/>
  <c r="E41"/>
  <c r="D41"/>
  <c r="C41"/>
  <c r="B41"/>
  <c r="G40"/>
  <c r="F40"/>
  <c r="E40"/>
  <c r="D40"/>
  <c r="C40"/>
  <c r="B40"/>
  <c r="G39"/>
  <c r="F39"/>
  <c r="E39"/>
  <c r="D39"/>
  <c r="C39"/>
  <c r="B39"/>
  <c r="G38"/>
  <c r="F38"/>
  <c r="E38"/>
  <c r="D38"/>
  <c r="C38"/>
  <c r="B38"/>
  <c r="G37"/>
  <c r="F37"/>
  <c r="E37"/>
  <c r="D37"/>
  <c r="C37"/>
  <c r="B37"/>
  <c r="G36"/>
  <c r="F36"/>
  <c r="E36"/>
  <c r="D36"/>
  <c r="C36"/>
  <c r="B36"/>
  <c r="G35"/>
  <c r="F35"/>
  <c r="E35"/>
  <c r="D35"/>
  <c r="C35"/>
  <c r="B35"/>
  <c r="G34"/>
  <c r="F34"/>
  <c r="E34"/>
  <c r="D34"/>
  <c r="C34"/>
  <c r="B34"/>
  <c r="G33"/>
  <c r="F33"/>
  <c r="E33"/>
  <c r="D33"/>
  <c r="C33"/>
  <c r="B33"/>
  <c r="G32"/>
  <c r="F32"/>
  <c r="E32"/>
  <c r="D32"/>
  <c r="C32"/>
  <c r="B32"/>
  <c r="G31"/>
  <c r="F31"/>
  <c r="E31"/>
  <c r="D31"/>
  <c r="C31"/>
  <c r="B31"/>
  <c r="G30"/>
  <c r="F30"/>
  <c r="E30"/>
  <c r="D30"/>
  <c r="C30"/>
  <c r="B30"/>
  <c r="G29"/>
  <c r="F29"/>
  <c r="E29"/>
  <c r="D29"/>
  <c r="C29"/>
  <c r="B29"/>
  <c r="G28"/>
  <c r="F28"/>
  <c r="E28"/>
  <c r="D28"/>
  <c r="C28"/>
  <c r="B28"/>
  <c r="G27"/>
  <c r="F27"/>
  <c r="E27"/>
  <c r="D27"/>
  <c r="C27"/>
  <c r="B27"/>
  <c r="G26"/>
  <c r="F26"/>
  <c r="E26"/>
  <c r="D26"/>
  <c r="C26"/>
  <c r="B26"/>
  <c r="G25"/>
  <c r="F25"/>
  <c r="E25"/>
  <c r="D25"/>
  <c r="C25"/>
  <c r="B25"/>
  <c r="G24"/>
  <c r="F24"/>
  <c r="E24"/>
  <c r="D24"/>
  <c r="C24"/>
  <c r="B24"/>
  <c r="G23"/>
  <c r="F23"/>
  <c r="E23"/>
  <c r="D23"/>
  <c r="C23"/>
  <c r="B23"/>
  <c r="G22"/>
  <c r="F22"/>
  <c r="E22"/>
  <c r="D22"/>
  <c r="C22"/>
  <c r="B22"/>
  <c r="G21"/>
  <c r="F21"/>
  <c r="E21"/>
  <c r="D21"/>
  <c r="C21"/>
  <c r="B21"/>
  <c r="G20"/>
  <c r="F20"/>
  <c r="E20"/>
  <c r="D20"/>
  <c r="C20"/>
  <c r="B20"/>
  <c r="G19"/>
  <c r="F19"/>
  <c r="E19"/>
  <c r="D19"/>
  <c r="C19"/>
  <c r="B19"/>
  <c r="G18"/>
  <c r="F18"/>
  <c r="E18"/>
  <c r="D18"/>
  <c r="C18"/>
  <c r="B18"/>
  <c r="G17"/>
  <c r="F17"/>
  <c r="E17"/>
  <c r="D17"/>
  <c r="C17"/>
  <c r="B17"/>
  <c r="G16"/>
  <c r="F16"/>
  <c r="E16"/>
  <c r="D16"/>
  <c r="C16"/>
  <c r="B16"/>
  <c r="G15"/>
  <c r="F15"/>
  <c r="E15"/>
  <c r="D15"/>
  <c r="C15"/>
  <c r="B15"/>
  <c r="G14"/>
  <c r="F14"/>
  <c r="E14"/>
  <c r="D14"/>
  <c r="C14"/>
  <c r="B14"/>
  <c r="G13"/>
  <c r="F13"/>
  <c r="E13"/>
  <c r="D13"/>
  <c r="C13"/>
  <c r="B13"/>
  <c r="G12"/>
  <c r="F12"/>
  <c r="E12"/>
  <c r="D12"/>
  <c r="C12"/>
  <c r="B12"/>
  <c r="G11"/>
  <c r="F11"/>
  <c r="E11"/>
  <c r="D11"/>
  <c r="C11"/>
  <c r="B11"/>
  <c r="G10"/>
  <c r="F10"/>
  <c r="E10"/>
  <c r="D10"/>
  <c r="C10"/>
  <c r="B10"/>
  <c r="G9"/>
  <c r="F9"/>
  <c r="E9"/>
  <c r="D9"/>
  <c r="C9"/>
  <c r="B9"/>
  <c r="G8"/>
  <c r="F8"/>
  <c r="E8"/>
  <c r="D8"/>
  <c r="C8"/>
  <c r="B8"/>
  <c r="G7"/>
  <c r="F7"/>
  <c r="E7"/>
  <c r="D7"/>
  <c r="C7"/>
  <c r="B7"/>
  <c r="G6"/>
  <c r="F6"/>
  <c r="E6"/>
  <c r="D6"/>
  <c r="C6"/>
  <c r="B6"/>
  <c r="G5"/>
  <c r="F5"/>
  <c r="E5"/>
  <c r="D5"/>
  <c r="C5"/>
  <c r="B5"/>
  <c r="G4"/>
  <c r="F4"/>
  <c r="E4"/>
  <c r="D4"/>
  <c r="C4"/>
  <c r="B4"/>
  <c r="G3"/>
  <c r="F3"/>
  <c r="E3"/>
  <c r="D3"/>
  <c r="C3"/>
  <c r="B3"/>
  <c r="G2"/>
  <c r="F2"/>
  <c r="E2"/>
  <c r="D2"/>
  <c r="C2"/>
  <c r="B2"/>
  <c r="AM35" i="28"/>
  <c r="AL35"/>
  <c r="AC120"/>
  <c r="AD50"/>
  <c r="AC50"/>
  <c r="AD49"/>
  <c r="AC49"/>
  <c r="AD48"/>
  <c r="AC48"/>
  <c r="AD47"/>
  <c r="AC47"/>
  <c r="AD46"/>
  <c r="AC46"/>
  <c r="AD45"/>
  <c r="AC4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Z141"/>
  <c r="Z140"/>
  <c r="Z53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A141"/>
  <c r="AA140"/>
  <c r="AA53"/>
  <c r="AA43"/>
  <c r="AA42"/>
  <c r="AA41"/>
  <c r="AA40"/>
  <c r="AA39"/>
  <c r="AA38"/>
  <c r="AA37"/>
  <c r="AA36"/>
  <c r="AA35"/>
  <c r="AA33"/>
  <c r="AA32"/>
  <c r="AA31"/>
  <c r="AA30"/>
  <c r="AA29"/>
  <c r="AA28"/>
  <c r="AA27"/>
  <c r="AA26"/>
  <c r="AA25"/>
  <c r="AA23"/>
  <c r="AA22"/>
  <c r="AA21"/>
  <c r="AA20"/>
  <c r="AA19"/>
  <c r="AA18"/>
  <c r="AA17"/>
  <c r="AA16"/>
  <c r="AA15"/>
  <c r="AA13"/>
  <c r="AA12"/>
  <c r="AA11"/>
  <c r="AA10"/>
  <c r="AA9"/>
  <c r="AA8"/>
  <c r="AA7"/>
  <c r="AA6"/>
  <c r="AA5"/>
  <c r="O21"/>
  <c r="N21"/>
  <c r="O20"/>
  <c r="N20"/>
  <c r="O18"/>
  <c r="N18"/>
  <c r="O17"/>
  <c r="N17"/>
  <c r="O16"/>
  <c r="N16"/>
  <c r="O15"/>
  <c r="N15"/>
  <c r="O13"/>
  <c r="N13"/>
  <c r="O12"/>
  <c r="N12"/>
  <c r="O11"/>
  <c r="N11"/>
  <c r="O10"/>
  <c r="N10"/>
  <c r="O8"/>
  <c r="N8"/>
  <c r="O7"/>
  <c r="N7"/>
  <c r="O6"/>
  <c r="N6"/>
  <c r="O5"/>
  <c r="N5"/>
  <c r="B50"/>
  <c r="B49"/>
  <c r="B48"/>
  <c r="B47"/>
  <c r="C50"/>
  <c r="C49"/>
  <c r="C48"/>
  <c r="C47"/>
  <c r="C46"/>
  <c r="B46"/>
  <c r="H173" i="7"/>
  <c r="G173"/>
  <c r="F173"/>
  <c r="E173"/>
  <c r="D173"/>
  <c r="C173"/>
  <c r="H172"/>
  <c r="G172"/>
  <c r="F172"/>
  <c r="E172"/>
  <c r="D172"/>
  <c r="C172"/>
  <c r="H171"/>
  <c r="G171"/>
  <c r="F171"/>
  <c r="E171"/>
  <c r="D171"/>
  <c r="C171"/>
  <c r="H170"/>
  <c r="G170"/>
  <c r="F170"/>
  <c r="E170"/>
  <c r="D170"/>
  <c r="C170"/>
  <c r="H169"/>
  <c r="G169"/>
  <c r="F169"/>
  <c r="E169"/>
  <c r="D169"/>
  <c r="C169"/>
  <c r="H168"/>
  <c r="G168"/>
  <c r="F168"/>
  <c r="E168"/>
  <c r="D168"/>
  <c r="C168"/>
  <c r="H167"/>
  <c r="G167"/>
  <c r="F167"/>
  <c r="E167"/>
  <c r="D167"/>
  <c r="C167"/>
  <c r="H166"/>
  <c r="G166"/>
  <c r="F166"/>
  <c r="E166"/>
  <c r="D166"/>
  <c r="C166"/>
  <c r="H165"/>
  <c r="G165"/>
  <c r="F165"/>
  <c r="E165"/>
  <c r="D165"/>
  <c r="C165"/>
  <c r="H164"/>
  <c r="G164"/>
  <c r="F164"/>
  <c r="E164"/>
  <c r="D164"/>
  <c r="C164"/>
  <c r="H163"/>
  <c r="G163"/>
  <c r="F163"/>
  <c r="E163"/>
  <c r="D163"/>
  <c r="C163"/>
  <c r="H162"/>
  <c r="G162"/>
  <c r="F162"/>
  <c r="E162"/>
  <c r="D162"/>
  <c r="C162"/>
  <c r="H161"/>
  <c r="G161"/>
  <c r="F161"/>
  <c r="E161"/>
  <c r="D161"/>
  <c r="C161"/>
  <c r="H160"/>
  <c r="G160"/>
  <c r="F160"/>
  <c r="E160"/>
  <c r="D160"/>
  <c r="C160"/>
  <c r="H159"/>
  <c r="G159"/>
  <c r="F159"/>
  <c r="E159"/>
  <c r="D159"/>
  <c r="C159"/>
  <c r="H158"/>
  <c r="G158"/>
  <c r="F158"/>
  <c r="E158"/>
  <c r="D158"/>
  <c r="C158"/>
  <c r="H157"/>
  <c r="G157"/>
  <c r="F157"/>
  <c r="E157"/>
  <c r="D157"/>
  <c r="C157"/>
  <c r="H156"/>
  <c r="G156"/>
  <c r="F156"/>
  <c r="E156"/>
  <c r="D156"/>
  <c r="C156"/>
  <c r="H155"/>
  <c r="G155"/>
  <c r="F155"/>
  <c r="E155"/>
  <c r="D155"/>
  <c r="C155"/>
  <c r="H154"/>
  <c r="G154"/>
  <c r="F154"/>
  <c r="E154"/>
  <c r="D154"/>
  <c r="C154"/>
  <c r="H153"/>
  <c r="G153"/>
  <c r="F153"/>
  <c r="E153"/>
  <c r="D153"/>
  <c r="C153"/>
  <c r="H152"/>
  <c r="G152"/>
  <c r="F152"/>
  <c r="E152"/>
  <c r="D152"/>
  <c r="C152"/>
  <c r="H151"/>
  <c r="G151"/>
  <c r="F151"/>
  <c r="E151"/>
  <c r="D151"/>
  <c r="C151"/>
  <c r="H150"/>
  <c r="G150"/>
  <c r="F150"/>
  <c r="E150"/>
  <c r="D150"/>
  <c r="C150"/>
  <c r="H149"/>
  <c r="G149"/>
  <c r="F149"/>
  <c r="E149"/>
  <c r="D149"/>
  <c r="C149"/>
  <c r="H148"/>
  <c r="G148"/>
  <c r="F148"/>
  <c r="E148"/>
  <c r="D148"/>
  <c r="C148"/>
  <c r="H147"/>
  <c r="G147"/>
  <c r="F147"/>
  <c r="E147"/>
  <c r="D147"/>
  <c r="C147"/>
  <c r="H146"/>
  <c r="G146"/>
  <c r="F146"/>
  <c r="E146"/>
  <c r="D146"/>
  <c r="C146"/>
  <c r="H145"/>
  <c r="G145"/>
  <c r="F145"/>
  <c r="E145"/>
  <c r="D145"/>
  <c r="C145"/>
  <c r="H144"/>
  <c r="G144"/>
  <c r="F144"/>
  <c r="E144"/>
  <c r="D144"/>
  <c r="C144"/>
  <c r="H143"/>
  <c r="G143"/>
  <c r="F143"/>
  <c r="E143"/>
  <c r="D143"/>
  <c r="C143"/>
  <c r="H142"/>
  <c r="G142"/>
  <c r="F142"/>
  <c r="E142"/>
  <c r="D142"/>
  <c r="C142"/>
  <c r="H141"/>
  <c r="G141"/>
  <c r="F141"/>
  <c r="E141"/>
  <c r="D141"/>
  <c r="C141"/>
  <c r="H140"/>
  <c r="G140"/>
  <c r="F140"/>
  <c r="E140"/>
  <c r="D140"/>
  <c r="C140"/>
  <c r="H139"/>
  <c r="G139"/>
  <c r="F139"/>
  <c r="E139"/>
  <c r="D139"/>
  <c r="C139"/>
  <c r="H138"/>
  <c r="G138"/>
  <c r="F138"/>
  <c r="E138"/>
  <c r="D138"/>
  <c r="C138"/>
  <c r="H137"/>
  <c r="G137"/>
  <c r="F137"/>
  <c r="E137"/>
  <c r="D137"/>
  <c r="C137"/>
  <c r="H136"/>
  <c r="G136"/>
  <c r="F136"/>
  <c r="E136"/>
  <c r="D136"/>
  <c r="C136"/>
  <c r="H135"/>
  <c r="G135"/>
  <c r="F135"/>
  <c r="E135"/>
  <c r="D135"/>
  <c r="C135"/>
  <c r="H134"/>
  <c r="G134"/>
  <c r="F134"/>
  <c r="E134"/>
  <c r="D134"/>
  <c r="C134"/>
  <c r="H133"/>
  <c r="G133"/>
  <c r="F133"/>
  <c r="E133"/>
  <c r="D133"/>
  <c r="C133"/>
  <c r="H132"/>
  <c r="G132"/>
  <c r="F132"/>
  <c r="E132"/>
  <c r="D132"/>
  <c r="C132"/>
  <c r="H131"/>
  <c r="G131"/>
  <c r="F131"/>
  <c r="E131"/>
  <c r="D131"/>
  <c r="C131"/>
  <c r="H130"/>
  <c r="G130"/>
  <c r="F130"/>
  <c r="E130"/>
  <c r="D130"/>
  <c r="C130"/>
  <c r="H129"/>
  <c r="G129"/>
  <c r="F129"/>
  <c r="E129"/>
  <c r="D129"/>
  <c r="C129"/>
  <c r="H128"/>
  <c r="G128"/>
  <c r="F128"/>
  <c r="E128"/>
  <c r="D128"/>
  <c r="C128"/>
  <c r="H127"/>
  <c r="G127"/>
  <c r="F127"/>
  <c r="E127"/>
  <c r="D127"/>
  <c r="C127"/>
  <c r="H126"/>
  <c r="G126"/>
  <c r="F126"/>
  <c r="E126"/>
  <c r="D126"/>
  <c r="C126"/>
  <c r="H125"/>
  <c r="G125"/>
  <c r="F125"/>
  <c r="E125"/>
  <c r="D125"/>
  <c r="C125"/>
  <c r="H124"/>
  <c r="G124"/>
  <c r="F124"/>
  <c r="E124"/>
  <c r="D124"/>
  <c r="C124"/>
  <c r="H123"/>
  <c r="G123"/>
  <c r="F123"/>
  <c r="E123"/>
  <c r="D123"/>
  <c r="C123"/>
  <c r="H122"/>
  <c r="G122"/>
  <c r="F122"/>
  <c r="E122"/>
  <c r="D122"/>
  <c r="C122"/>
  <c r="H121"/>
  <c r="G121"/>
  <c r="F121"/>
  <c r="E121"/>
  <c r="D121"/>
  <c r="C121"/>
  <c r="H120"/>
  <c r="G120"/>
  <c r="F120"/>
  <c r="E120"/>
  <c r="D120"/>
  <c r="C120"/>
  <c r="H119"/>
  <c r="G119"/>
  <c r="F119"/>
  <c r="E119"/>
  <c r="D119"/>
  <c r="C119"/>
  <c r="H118"/>
  <c r="G118"/>
  <c r="F118"/>
  <c r="E118"/>
  <c r="D118"/>
  <c r="C118"/>
  <c r="H117"/>
  <c r="G117"/>
  <c r="F117"/>
  <c r="E117"/>
  <c r="D117"/>
  <c r="C117"/>
  <c r="H116"/>
  <c r="G116"/>
  <c r="F116"/>
  <c r="E116"/>
  <c r="D116"/>
  <c r="C116"/>
  <c r="H115"/>
  <c r="G115"/>
  <c r="F115"/>
  <c r="E115"/>
  <c r="D115"/>
  <c r="C115"/>
  <c r="H114"/>
  <c r="G114"/>
  <c r="F114"/>
  <c r="E114"/>
  <c r="D114"/>
  <c r="C114"/>
  <c r="H113"/>
  <c r="G113"/>
  <c r="F113"/>
  <c r="E113"/>
  <c r="D113"/>
  <c r="C113"/>
  <c r="H112"/>
  <c r="G112"/>
  <c r="F112"/>
  <c r="E112"/>
  <c r="D112"/>
  <c r="C112"/>
  <c r="H111"/>
  <c r="G111"/>
  <c r="F111"/>
  <c r="E111"/>
  <c r="D111"/>
  <c r="C111"/>
  <c r="H110"/>
  <c r="G110"/>
  <c r="F110"/>
  <c r="E110"/>
  <c r="D110"/>
  <c r="C110"/>
  <c r="H109"/>
  <c r="G109"/>
  <c r="F109"/>
  <c r="E109"/>
  <c r="D109"/>
  <c r="C109"/>
  <c r="H108"/>
  <c r="G108"/>
  <c r="F108"/>
  <c r="E108"/>
  <c r="D108"/>
  <c r="C108"/>
  <c r="H107"/>
  <c r="G107"/>
  <c r="F107"/>
  <c r="E107"/>
  <c r="D107"/>
  <c r="C107"/>
  <c r="H106"/>
  <c r="G106"/>
  <c r="F106"/>
  <c r="E106"/>
  <c r="D106"/>
  <c r="C106"/>
  <c r="H105"/>
  <c r="G105"/>
  <c r="F105"/>
  <c r="E105"/>
  <c r="D105"/>
  <c r="C105"/>
  <c r="H104"/>
  <c r="G104"/>
  <c r="F104"/>
  <c r="E104"/>
  <c r="D104"/>
  <c r="C104"/>
  <c r="H103"/>
  <c r="G103"/>
  <c r="F103"/>
  <c r="E103"/>
  <c r="D103"/>
  <c r="C103"/>
  <c r="H102"/>
  <c r="G102"/>
  <c r="F102"/>
  <c r="E102"/>
  <c r="D102"/>
  <c r="C102"/>
  <c r="H101"/>
  <c r="G101"/>
  <c r="F101"/>
  <c r="E101"/>
  <c r="D101"/>
  <c r="C101"/>
  <c r="H100"/>
  <c r="G100"/>
  <c r="F100"/>
  <c r="E100"/>
  <c r="D100"/>
  <c r="C100"/>
  <c r="H99"/>
  <c r="G99"/>
  <c r="F99"/>
  <c r="E99"/>
  <c r="D99"/>
  <c r="C99"/>
  <c r="H98"/>
  <c r="G98"/>
  <c r="F98"/>
  <c r="E98"/>
  <c r="D98"/>
  <c r="C98"/>
  <c r="H97"/>
  <c r="G97"/>
  <c r="F97"/>
  <c r="E97"/>
  <c r="D97"/>
  <c r="C97"/>
  <c r="H96"/>
  <c r="G96"/>
  <c r="F96"/>
  <c r="E96"/>
  <c r="D96"/>
  <c r="C96"/>
  <c r="H95"/>
  <c r="G95"/>
  <c r="F95"/>
  <c r="E95"/>
  <c r="D95"/>
  <c r="C95"/>
  <c r="H94"/>
  <c r="G94"/>
  <c r="F94"/>
  <c r="E94"/>
  <c r="D94"/>
  <c r="C94"/>
  <c r="H93"/>
  <c r="G93"/>
  <c r="F93"/>
  <c r="E93"/>
  <c r="D93"/>
  <c r="C93"/>
  <c r="H92"/>
  <c r="G92"/>
  <c r="F92"/>
  <c r="E92"/>
  <c r="D92"/>
  <c r="C92"/>
  <c r="H91"/>
  <c r="G91"/>
  <c r="F91"/>
  <c r="E91"/>
  <c r="D91"/>
  <c r="C91"/>
  <c r="H90"/>
  <c r="G90"/>
  <c r="F90"/>
  <c r="E90"/>
  <c r="D90"/>
  <c r="C90"/>
  <c r="H89"/>
  <c r="G89"/>
  <c r="F89"/>
  <c r="E89"/>
  <c r="D89"/>
  <c r="C89"/>
  <c r="H88"/>
  <c r="G88"/>
  <c r="F88"/>
  <c r="E88"/>
  <c r="D88"/>
  <c r="C88"/>
  <c r="H87"/>
  <c r="G87"/>
  <c r="F87"/>
  <c r="E87"/>
  <c r="D87"/>
  <c r="C87"/>
  <c r="H86"/>
  <c r="G86"/>
  <c r="F86"/>
  <c r="E86"/>
  <c r="D86"/>
  <c r="C86"/>
  <c r="H85"/>
  <c r="G85"/>
  <c r="F85"/>
  <c r="E85"/>
  <c r="D85"/>
  <c r="C85"/>
  <c r="H84"/>
  <c r="G84"/>
  <c r="F84"/>
  <c r="E84"/>
  <c r="D84"/>
  <c r="C84"/>
  <c r="H83"/>
  <c r="G83"/>
  <c r="F83"/>
  <c r="E83"/>
  <c r="D83"/>
  <c r="C83"/>
  <c r="H82"/>
  <c r="G82"/>
  <c r="F82"/>
  <c r="E82"/>
  <c r="D82"/>
  <c r="C82"/>
  <c r="H81"/>
  <c r="G81"/>
  <c r="F81"/>
  <c r="E81"/>
  <c r="D81"/>
  <c r="C81"/>
  <c r="H80"/>
  <c r="G80"/>
  <c r="F80"/>
  <c r="E80"/>
  <c r="D80"/>
  <c r="C80"/>
  <c r="H79"/>
  <c r="G79"/>
  <c r="F79"/>
  <c r="E79"/>
  <c r="D79"/>
  <c r="C79"/>
  <c r="H78"/>
  <c r="G78"/>
  <c r="F78"/>
  <c r="E78"/>
  <c r="D78"/>
  <c r="C78"/>
  <c r="H77"/>
  <c r="G77"/>
  <c r="F77"/>
  <c r="E77"/>
  <c r="D77"/>
  <c r="C77"/>
  <c r="H76"/>
  <c r="G76"/>
  <c r="F76"/>
  <c r="E76"/>
  <c r="D76"/>
  <c r="C76"/>
  <c r="H75"/>
  <c r="G75"/>
  <c r="F75"/>
  <c r="E75"/>
  <c r="D75"/>
  <c r="C75"/>
  <c r="H74"/>
  <c r="G74"/>
  <c r="F74"/>
  <c r="E74"/>
  <c r="D74"/>
  <c r="C74"/>
  <c r="H73"/>
  <c r="G73"/>
  <c r="F73"/>
  <c r="E73"/>
  <c r="D73"/>
  <c r="C73"/>
  <c r="H72"/>
  <c r="G72"/>
  <c r="F72"/>
  <c r="E72"/>
  <c r="D72"/>
  <c r="C72"/>
  <c r="H71"/>
  <c r="G71"/>
  <c r="F71"/>
  <c r="E71"/>
  <c r="D71"/>
  <c r="C71"/>
  <c r="H70"/>
  <c r="G70"/>
  <c r="F70"/>
  <c r="E70"/>
  <c r="D70"/>
  <c r="C70"/>
  <c r="H69"/>
  <c r="G69"/>
  <c r="F69"/>
  <c r="E69"/>
  <c r="D69"/>
  <c r="C69"/>
  <c r="H68"/>
  <c r="G68"/>
  <c r="F68"/>
  <c r="E68"/>
  <c r="D68"/>
  <c r="C68"/>
  <c r="H67"/>
  <c r="G67"/>
  <c r="F67"/>
  <c r="E67"/>
  <c r="D67"/>
  <c r="C67"/>
  <c r="H66"/>
  <c r="G66"/>
  <c r="F66"/>
  <c r="E66"/>
  <c r="D66"/>
  <c r="C66"/>
  <c r="H65"/>
  <c r="G65"/>
  <c r="F65"/>
  <c r="E65"/>
  <c r="D65"/>
  <c r="C65"/>
  <c r="H64"/>
  <c r="G64"/>
  <c r="F64"/>
  <c r="E64"/>
  <c r="D64"/>
  <c r="C64"/>
  <c r="H63"/>
  <c r="G63"/>
  <c r="F63"/>
  <c r="E63"/>
  <c r="D63"/>
  <c r="C63"/>
  <c r="H62"/>
  <c r="G62"/>
  <c r="F62"/>
  <c r="E62"/>
  <c r="D62"/>
  <c r="C62"/>
  <c r="H61"/>
  <c r="G61"/>
  <c r="F61"/>
  <c r="E61"/>
  <c r="D61"/>
  <c r="C61"/>
  <c r="H60"/>
  <c r="G60"/>
  <c r="F60"/>
  <c r="E60"/>
  <c r="D60"/>
  <c r="C60"/>
  <c r="H59"/>
  <c r="G59"/>
  <c r="F59"/>
  <c r="E59"/>
  <c r="D59"/>
  <c r="C59"/>
  <c r="H58"/>
  <c r="G58"/>
  <c r="F58"/>
  <c r="E58"/>
  <c r="D58"/>
  <c r="C58"/>
  <c r="H57"/>
  <c r="G57"/>
  <c r="F57"/>
  <c r="E57"/>
  <c r="D57"/>
  <c r="C57"/>
  <c r="H56"/>
  <c r="G56"/>
  <c r="F56"/>
  <c r="E56"/>
  <c r="D56"/>
  <c r="C56"/>
  <c r="H55"/>
  <c r="G55"/>
  <c r="F55"/>
  <c r="E55"/>
  <c r="D55"/>
  <c r="C55"/>
  <c r="H54"/>
  <c r="G54"/>
  <c r="F54"/>
  <c r="E54"/>
  <c r="D54"/>
  <c r="C54"/>
  <c r="H53"/>
  <c r="G53"/>
  <c r="F53"/>
  <c r="E53"/>
  <c r="D53"/>
  <c r="C53"/>
  <c r="H52"/>
  <c r="G52"/>
  <c r="F52"/>
  <c r="E52"/>
  <c r="D52"/>
  <c r="C52"/>
  <c r="H51"/>
  <c r="G51"/>
  <c r="F51"/>
  <c r="E51"/>
  <c r="D51"/>
  <c r="C51"/>
  <c r="H50"/>
  <c r="G50"/>
  <c r="F50"/>
  <c r="E50"/>
  <c r="D50"/>
  <c r="C50"/>
  <c r="H49"/>
  <c r="G49"/>
  <c r="F49"/>
  <c r="E49"/>
  <c r="D49"/>
  <c r="C49"/>
  <c r="H48"/>
  <c r="G48"/>
  <c r="F48"/>
  <c r="E48"/>
  <c r="D48"/>
  <c r="C48"/>
  <c r="H47"/>
  <c r="G47"/>
  <c r="F47"/>
  <c r="E47"/>
  <c r="D47"/>
  <c r="C47"/>
  <c r="H46"/>
  <c r="G46"/>
  <c r="F46"/>
  <c r="E46"/>
  <c r="D46"/>
  <c r="C46"/>
  <c r="H45"/>
  <c r="G45"/>
  <c r="F45"/>
  <c r="E45"/>
  <c r="D45"/>
  <c r="C45"/>
  <c r="H44"/>
  <c r="G44"/>
  <c r="F44"/>
  <c r="E44"/>
  <c r="D44"/>
  <c r="C44"/>
  <c r="H43"/>
  <c r="G43"/>
  <c r="F43"/>
  <c r="E43"/>
  <c r="D43"/>
  <c r="C43"/>
  <c r="H42"/>
  <c r="G42"/>
  <c r="F42"/>
  <c r="E42"/>
  <c r="D42"/>
  <c r="C42"/>
  <c r="H41"/>
  <c r="G41"/>
  <c r="F41"/>
  <c r="E41"/>
  <c r="D41"/>
  <c r="C41"/>
  <c r="H40"/>
  <c r="G40"/>
  <c r="F40"/>
  <c r="E40"/>
  <c r="D40"/>
  <c r="C40"/>
  <c r="H39"/>
  <c r="G39"/>
  <c r="F39"/>
  <c r="E39"/>
  <c r="D39"/>
  <c r="C39"/>
  <c r="H38"/>
  <c r="G38"/>
  <c r="F38"/>
  <c r="E38"/>
  <c r="D38"/>
  <c r="C38"/>
  <c r="H37"/>
  <c r="G37"/>
  <c r="F37"/>
  <c r="E37"/>
  <c r="D37"/>
  <c r="C37"/>
  <c r="H36"/>
  <c r="G36"/>
  <c r="F36"/>
  <c r="E36"/>
  <c r="D36"/>
  <c r="C36"/>
  <c r="H35"/>
  <c r="G35"/>
  <c r="F35"/>
  <c r="E35"/>
  <c r="D35"/>
  <c r="C35"/>
  <c r="H34"/>
  <c r="G34"/>
  <c r="F34"/>
  <c r="E34"/>
  <c r="D34"/>
  <c r="C34"/>
  <c r="H33"/>
  <c r="G33"/>
  <c r="F33"/>
  <c r="E33"/>
  <c r="D33"/>
  <c r="C33"/>
  <c r="H32"/>
  <c r="G32"/>
  <c r="F32"/>
  <c r="E32"/>
  <c r="D32"/>
  <c r="C32"/>
  <c r="H31"/>
  <c r="G31"/>
  <c r="F31"/>
  <c r="E31"/>
  <c r="D31"/>
  <c r="C31"/>
  <c r="H30"/>
  <c r="G30"/>
  <c r="F30"/>
  <c r="E30"/>
  <c r="D30"/>
  <c r="C30"/>
  <c r="H29"/>
  <c r="G29"/>
  <c r="F29"/>
  <c r="E29"/>
  <c r="D29"/>
  <c r="C29"/>
  <c r="H28"/>
  <c r="G28"/>
  <c r="F28"/>
  <c r="E28"/>
  <c r="D28"/>
  <c r="C28"/>
  <c r="H27"/>
  <c r="G27"/>
  <c r="F27"/>
  <c r="E27"/>
  <c r="D27"/>
  <c r="C27"/>
  <c r="H26"/>
  <c r="G26"/>
  <c r="F26"/>
  <c r="E26"/>
  <c r="D26"/>
  <c r="C26"/>
  <c r="H25"/>
  <c r="G25"/>
  <c r="F25"/>
  <c r="E25"/>
  <c r="D25"/>
  <c r="C25"/>
  <c r="H24"/>
  <c r="G24"/>
  <c r="F24"/>
  <c r="E24"/>
  <c r="D24"/>
  <c r="C24"/>
  <c r="H23"/>
  <c r="G23"/>
  <c r="F23"/>
  <c r="E23"/>
  <c r="D23"/>
  <c r="C23"/>
  <c r="H22"/>
  <c r="G22"/>
  <c r="F22"/>
  <c r="E22"/>
  <c r="D22"/>
  <c r="C22"/>
  <c r="H21"/>
  <c r="G21"/>
  <c r="F21"/>
  <c r="E21"/>
  <c r="D21"/>
  <c r="C21"/>
  <c r="H20"/>
  <c r="G20"/>
  <c r="F20"/>
  <c r="E20"/>
  <c r="D20"/>
  <c r="C20"/>
  <c r="H19"/>
  <c r="G19"/>
  <c r="F19"/>
  <c r="E19"/>
  <c r="D19"/>
  <c r="C19"/>
  <c r="H18"/>
  <c r="G18"/>
  <c r="F18"/>
  <c r="E18"/>
  <c r="D18"/>
  <c r="C18"/>
  <c r="H17"/>
  <c r="G17"/>
  <c r="F17"/>
  <c r="E17"/>
  <c r="D17"/>
  <c r="C17"/>
  <c r="H16"/>
  <c r="G16"/>
  <c r="F16"/>
  <c r="E16"/>
  <c r="D16"/>
  <c r="C16"/>
  <c r="H15"/>
  <c r="G15"/>
  <c r="F15"/>
  <c r="E15"/>
  <c r="D15"/>
  <c r="C15"/>
  <c r="H14"/>
  <c r="G14"/>
  <c r="F14"/>
  <c r="E14"/>
  <c r="D14"/>
  <c r="C14"/>
  <c r="H13"/>
  <c r="G13"/>
  <c r="F13"/>
  <c r="E13"/>
  <c r="D13"/>
  <c r="C13"/>
  <c r="H12"/>
  <c r="G12"/>
  <c r="F12"/>
  <c r="E12"/>
  <c r="D12"/>
  <c r="C12"/>
  <c r="H11"/>
  <c r="G11"/>
  <c r="F11"/>
  <c r="E11"/>
  <c r="D11"/>
  <c r="C11"/>
  <c r="H10"/>
  <c r="G10"/>
  <c r="F10"/>
  <c r="E10"/>
  <c r="D10"/>
  <c r="C10"/>
  <c r="H9"/>
  <c r="G9"/>
  <c r="F9"/>
  <c r="E9"/>
  <c r="D9"/>
  <c r="C9"/>
  <c r="H8"/>
  <c r="G8"/>
  <c r="F8"/>
  <c r="E8"/>
  <c r="D8"/>
  <c r="C8"/>
  <c r="H7"/>
  <c r="G7"/>
  <c r="F7"/>
  <c r="E7"/>
  <c r="D7"/>
  <c r="C7"/>
  <c r="H6"/>
  <c r="G6"/>
  <c r="F6"/>
  <c r="E6"/>
  <c r="D6"/>
  <c r="C6"/>
  <c r="H5"/>
  <c r="G5"/>
  <c r="F5"/>
  <c r="E5"/>
  <c r="D5"/>
  <c r="C5"/>
  <c r="H4"/>
  <c r="G4"/>
  <c r="F4"/>
  <c r="E4"/>
  <c r="D4"/>
  <c r="C4"/>
  <c r="H3"/>
  <c r="G3"/>
  <c r="F3"/>
  <c r="E3"/>
  <c r="D3"/>
  <c r="C3"/>
  <c r="E1"/>
  <c r="F1" s="1"/>
  <c r="G1" s="1"/>
  <c r="H1" s="1"/>
  <c r="D1"/>
  <c r="R168"/>
  <c r="Q168"/>
  <c r="P168"/>
  <c r="O168"/>
  <c r="N168"/>
  <c r="M168"/>
  <c r="R167"/>
  <c r="Q167"/>
  <c r="P167"/>
  <c r="O167"/>
  <c r="N167"/>
  <c r="M167"/>
  <c r="R166"/>
  <c r="Q166"/>
  <c r="P166"/>
  <c r="O166"/>
  <c r="N166"/>
  <c r="M166"/>
  <c r="R163"/>
  <c r="Q163"/>
  <c r="P163"/>
  <c r="O163"/>
  <c r="N163"/>
  <c r="M163"/>
  <c r="R160"/>
  <c r="Q160"/>
  <c r="P160"/>
  <c r="O160"/>
  <c r="N160"/>
  <c r="M160"/>
  <c r="R159"/>
  <c r="Q159"/>
  <c r="P159"/>
  <c r="O159"/>
  <c r="N159"/>
  <c r="M159"/>
  <c r="R156"/>
  <c r="Q156"/>
  <c r="P156"/>
  <c r="O156"/>
  <c r="N156"/>
  <c r="M156"/>
  <c r="R149"/>
  <c r="Q149"/>
  <c r="P149"/>
  <c r="O149"/>
  <c r="N149"/>
  <c r="M149"/>
  <c r="R144"/>
  <c r="Q144"/>
  <c r="P144"/>
  <c r="O144"/>
  <c r="N144"/>
  <c r="M144"/>
  <c r="R143"/>
  <c r="Q143"/>
  <c r="P143"/>
  <c r="O143"/>
  <c r="N143"/>
  <c r="M143"/>
  <c r="R137"/>
  <c r="Q137"/>
  <c r="P137"/>
  <c r="O137"/>
  <c r="N137"/>
  <c r="M137"/>
  <c r="R126"/>
  <c r="Q126"/>
  <c r="P126"/>
  <c r="O126"/>
  <c r="N126"/>
  <c r="M126"/>
  <c r="R115"/>
  <c r="Q115"/>
  <c r="P115"/>
  <c r="O115"/>
  <c r="N115"/>
  <c r="M115"/>
  <c r="R113"/>
  <c r="Q113"/>
  <c r="P113"/>
  <c r="O113"/>
  <c r="N113"/>
  <c r="M113"/>
  <c r="R109"/>
  <c r="Q109"/>
  <c r="P109"/>
  <c r="O109"/>
  <c r="N109"/>
  <c r="M109"/>
  <c r="R104"/>
  <c r="Q104"/>
  <c r="P104"/>
  <c r="O104"/>
  <c r="N104"/>
  <c r="M104"/>
  <c r="R103"/>
  <c r="Q103"/>
  <c r="P103"/>
  <c r="O103"/>
  <c r="N103"/>
  <c r="M103"/>
  <c r="R100"/>
  <c r="Q100"/>
  <c r="P100"/>
  <c r="O100"/>
  <c r="N100"/>
  <c r="M100"/>
  <c r="R90"/>
  <c r="Q90"/>
  <c r="P90"/>
  <c r="O90"/>
  <c r="N90"/>
  <c r="M90"/>
  <c r="R89"/>
  <c r="Q89"/>
  <c r="P89"/>
  <c r="O89"/>
  <c r="N89"/>
  <c r="M89"/>
  <c r="R81"/>
  <c r="Q81"/>
  <c r="P81"/>
  <c r="O81"/>
  <c r="N81"/>
  <c r="M81"/>
  <c r="R77"/>
  <c r="Q77"/>
  <c r="P77"/>
  <c r="O77"/>
  <c r="N77"/>
  <c r="M77"/>
  <c r="R75"/>
  <c r="Q75"/>
  <c r="P75"/>
  <c r="O75"/>
  <c r="N75"/>
  <c r="M75"/>
  <c r="R72"/>
  <c r="Q72"/>
  <c r="P72"/>
  <c r="O72"/>
  <c r="N72"/>
  <c r="M72"/>
  <c r="R64"/>
  <c r="Q64"/>
  <c r="P64"/>
  <c r="O64"/>
  <c r="N64"/>
  <c r="M64"/>
  <c r="R59"/>
  <c r="Q59"/>
  <c r="P59"/>
  <c r="O59"/>
  <c r="N59"/>
  <c r="M59"/>
  <c r="R58"/>
  <c r="Q58"/>
  <c r="P58"/>
  <c r="O58"/>
  <c r="N58"/>
  <c r="M58"/>
  <c r="R53"/>
  <c r="Q53"/>
  <c r="P53"/>
  <c r="O53"/>
  <c r="N53"/>
  <c r="M53"/>
  <c r="R51"/>
  <c r="Q51"/>
  <c r="P51"/>
  <c r="O51"/>
  <c r="N51"/>
  <c r="M51"/>
  <c r="R46"/>
  <c r="Q46"/>
  <c r="P46"/>
  <c r="O46"/>
  <c r="N46"/>
  <c r="M46"/>
  <c r="R44"/>
  <c r="Q44"/>
  <c r="P44"/>
  <c r="O44"/>
  <c r="N44"/>
  <c r="M44"/>
  <c r="R43"/>
  <c r="Q43"/>
  <c r="P43"/>
  <c r="O43"/>
  <c r="N43"/>
  <c r="M43"/>
  <c r="R16"/>
  <c r="Q16"/>
  <c r="P16"/>
  <c r="O16"/>
  <c r="N16"/>
  <c r="M16"/>
  <c r="R15"/>
  <c r="Q15"/>
  <c r="P15"/>
  <c r="O15"/>
  <c r="N15"/>
  <c r="M15"/>
  <c r="R11"/>
  <c r="Q11"/>
  <c r="P11"/>
  <c r="O11"/>
  <c r="N11"/>
  <c r="M11"/>
  <c r="R6"/>
  <c r="Q6"/>
  <c r="P6"/>
  <c r="O6"/>
  <c r="N6"/>
  <c r="M6"/>
  <c r="I26" i="33"/>
  <c r="I24"/>
  <c r="I22"/>
  <c r="I20"/>
  <c r="I18"/>
  <c r="I17"/>
  <c r="I15"/>
  <c r="I14"/>
  <c r="I13"/>
  <c r="I11"/>
  <c r="I10"/>
  <c r="I9"/>
  <c r="I8"/>
  <c r="I7"/>
  <c r="I6"/>
  <c r="I5"/>
  <c r="D24"/>
  <c r="D22"/>
  <c r="D20"/>
  <c r="D18"/>
  <c r="D17"/>
  <c r="D15"/>
  <c r="D14"/>
  <c r="D13"/>
  <c r="D11"/>
  <c r="D10"/>
  <c r="D9"/>
  <c r="D8"/>
  <c r="D7"/>
  <c r="D6"/>
  <c r="D5"/>
  <c r="G6" i="34"/>
  <c r="F6"/>
  <c r="E6"/>
  <c r="D6"/>
  <c r="C6"/>
  <c r="G5"/>
  <c r="F5"/>
  <c r="E5"/>
  <c r="D5"/>
  <c r="C5"/>
  <c r="G4"/>
  <c r="F4"/>
  <c r="E4"/>
  <c r="D4"/>
  <c r="C4"/>
  <c r="G3"/>
  <c r="F3"/>
  <c r="E3"/>
  <c r="D3"/>
  <c r="C3"/>
  <c r="J18" i="36"/>
  <c r="F26" i="33" s="1"/>
  <c r="J9" i="36"/>
  <c r="F6" i="33" s="1"/>
  <c r="J8" i="36"/>
  <c r="F7" i="33" s="1"/>
  <c r="J7" i="36"/>
  <c r="F22" i="33" s="1"/>
  <c r="J6" i="36"/>
  <c r="F9" i="33" s="1"/>
  <c r="J11" i="36"/>
  <c r="F14" i="33" s="1"/>
  <c r="J10" i="36"/>
  <c r="F13" i="33" s="1"/>
  <c r="J17" i="36"/>
  <c r="F5" i="33" s="1"/>
  <c r="J4" i="36"/>
  <c r="F17" i="33" s="1"/>
  <c r="J16" i="36"/>
  <c r="F20" i="33" s="1"/>
  <c r="J15" i="36"/>
  <c r="F18" i="33" s="1"/>
  <c r="J5" i="36"/>
  <c r="F24" i="33" s="1"/>
  <c r="J14" i="36"/>
  <c r="F15" i="33" s="1"/>
  <c r="J3" i="36"/>
  <c r="F8" i="33" s="1"/>
  <c r="J13" i="36"/>
  <c r="F10" i="33" s="1"/>
  <c r="J12" i="36"/>
  <c r="F11" i="33" s="1"/>
  <c r="F15" i="31"/>
  <c r="F14"/>
  <c r="F13"/>
  <c r="F12"/>
  <c r="F11"/>
  <c r="F10"/>
  <c r="F9"/>
  <c r="F8"/>
  <c r="F7"/>
  <c r="F6"/>
  <c r="F5"/>
  <c r="F4"/>
  <c r="F3"/>
  <c r="F2"/>
  <c r="F1"/>
  <c r="B2" i="29"/>
  <c r="C2" s="1"/>
  <c r="A5"/>
  <c r="B1"/>
  <c r="AS161" i="28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S127"/>
  <c r="AR127"/>
  <c r="AQ127"/>
  <c r="AM127"/>
  <c r="AL127"/>
  <c r="AK127"/>
  <c r="AJ127"/>
  <c r="AI127"/>
  <c r="AH127"/>
  <c r="AG127"/>
  <c r="AF127"/>
  <c r="AE127"/>
  <c r="AD127"/>
  <c r="AC127"/>
  <c r="AB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S126"/>
  <c r="AR126"/>
  <c r="AQ126"/>
  <c r="AM126"/>
  <c r="AL126"/>
  <c r="AK126"/>
  <c r="AJ126"/>
  <c r="AI126"/>
  <c r="AH126"/>
  <c r="AG126"/>
  <c r="AF126"/>
  <c r="AE126"/>
  <c r="AD126"/>
  <c r="AC126"/>
  <c r="AB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S125"/>
  <c r="AR125"/>
  <c r="AQ125"/>
  <c r="AM125"/>
  <c r="AL125"/>
  <c r="AK125"/>
  <c r="AJ125"/>
  <c r="AI125"/>
  <c r="AH125"/>
  <c r="AG125"/>
  <c r="AF125"/>
  <c r="AE125"/>
  <c r="AD125"/>
  <c r="AC125"/>
  <c r="AB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S124"/>
  <c r="AR124"/>
  <c r="AQ124"/>
  <c r="AM124"/>
  <c r="AL124"/>
  <c r="AK124"/>
  <c r="AJ124"/>
  <c r="AI124"/>
  <c r="AH124"/>
  <c r="AG124"/>
  <c r="AF124"/>
  <c r="AE124"/>
  <c r="AD124"/>
  <c r="AC124"/>
  <c r="AB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S123"/>
  <c r="AR123"/>
  <c r="AQ123"/>
  <c r="AM123"/>
  <c r="AL123"/>
  <c r="AK123"/>
  <c r="AJ123"/>
  <c r="AI123"/>
  <c r="AH123"/>
  <c r="AG123"/>
  <c r="AF123"/>
  <c r="AE123"/>
  <c r="AD123"/>
  <c r="AC123"/>
  <c r="AB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S122"/>
  <c r="AR122"/>
  <c r="AQ122"/>
  <c r="AM122"/>
  <c r="AL122"/>
  <c r="AK122"/>
  <c r="AJ122"/>
  <c r="AI122"/>
  <c r="AH122"/>
  <c r="AG122"/>
  <c r="AF122"/>
  <c r="AE122"/>
  <c r="AD122"/>
  <c r="AC122"/>
  <c r="AB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S121"/>
  <c r="AR121"/>
  <c r="AQ121"/>
  <c r="AM121"/>
  <c r="AL121"/>
  <c r="AK121"/>
  <c r="AJ121"/>
  <c r="AI121"/>
  <c r="AH121"/>
  <c r="AG121"/>
  <c r="AF121"/>
  <c r="AE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S120"/>
  <c r="AR120"/>
  <c r="AQ120"/>
  <c r="AM120"/>
  <c r="AL120"/>
  <c r="AK120"/>
  <c r="AJ120"/>
  <c r="AI120"/>
  <c r="AH120"/>
  <c r="AG120"/>
  <c r="AF120"/>
  <c r="AE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S119"/>
  <c r="AR119"/>
  <c r="AQ119"/>
  <c r="AM119"/>
  <c r="AL119"/>
  <c r="AK119"/>
  <c r="AJ119"/>
  <c r="AI119"/>
  <c r="AH119"/>
  <c r="AG119"/>
  <c r="AF119"/>
  <c r="AE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S118"/>
  <c r="AR118"/>
  <c r="AQ118"/>
  <c r="AM118"/>
  <c r="AL118"/>
  <c r="AK118"/>
  <c r="AJ118"/>
  <c r="AI118"/>
  <c r="AH118"/>
  <c r="AG118"/>
  <c r="AF118"/>
  <c r="AE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S117"/>
  <c r="AR117"/>
  <c r="AQ117"/>
  <c r="AM117"/>
  <c r="AL117"/>
  <c r="AK117"/>
  <c r="AJ117"/>
  <c r="AI117"/>
  <c r="AH117"/>
  <c r="AG117"/>
  <c r="AF117"/>
  <c r="AE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S116"/>
  <c r="AR116"/>
  <c r="AQ116"/>
  <c r="AM116"/>
  <c r="AL116"/>
  <c r="AK116"/>
  <c r="AJ116"/>
  <c r="AI116"/>
  <c r="AH116"/>
  <c r="AG116"/>
  <c r="AF116"/>
  <c r="AE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S115"/>
  <c r="AR115"/>
  <c r="AQ115"/>
  <c r="AM115"/>
  <c r="AL115"/>
  <c r="AK115"/>
  <c r="AJ115"/>
  <c r="AI115"/>
  <c r="AH115"/>
  <c r="AG115"/>
  <c r="AF115"/>
  <c r="AE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S114"/>
  <c r="AR114"/>
  <c r="AQ114"/>
  <c r="AM114"/>
  <c r="AL114"/>
  <c r="AK114"/>
  <c r="AJ114"/>
  <c r="AI114"/>
  <c r="AH114"/>
  <c r="AG114"/>
  <c r="AF114"/>
  <c r="AE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S113"/>
  <c r="AR113"/>
  <c r="AQ113"/>
  <c r="AM113"/>
  <c r="AL113"/>
  <c r="AK113"/>
  <c r="AJ113"/>
  <c r="AI113"/>
  <c r="AH113"/>
  <c r="AG113"/>
  <c r="AF113"/>
  <c r="AE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S112"/>
  <c r="AR112"/>
  <c r="AQ112"/>
  <c r="AM112"/>
  <c r="AL112"/>
  <c r="AK112"/>
  <c r="AJ112"/>
  <c r="AI112"/>
  <c r="AH112"/>
  <c r="AG112"/>
  <c r="AF112"/>
  <c r="AE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S111"/>
  <c r="AR111"/>
  <c r="AQ111"/>
  <c r="AM111"/>
  <c r="AL111"/>
  <c r="AK111"/>
  <c r="AJ111"/>
  <c r="AI111"/>
  <c r="AH111"/>
  <c r="AG111"/>
  <c r="AF111"/>
  <c r="AE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S110"/>
  <c r="AR110"/>
  <c r="AQ110"/>
  <c r="AM110"/>
  <c r="AL110"/>
  <c r="AK110"/>
  <c r="AJ110"/>
  <c r="AI110"/>
  <c r="AH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S109"/>
  <c r="AR109"/>
  <c r="AQ109"/>
  <c r="AM109"/>
  <c r="AL109"/>
  <c r="AK109"/>
  <c r="AJ109"/>
  <c r="AI109"/>
  <c r="AH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S108"/>
  <c r="AR108"/>
  <c r="AQ108"/>
  <c r="AM108"/>
  <c r="AL108"/>
  <c r="AK108"/>
  <c r="AJ108"/>
  <c r="AI108"/>
  <c r="AH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M107"/>
  <c r="AL107"/>
  <c r="AK107"/>
  <c r="AJ107"/>
  <c r="AI107"/>
  <c r="AH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M106"/>
  <c r="AL106"/>
  <c r="AK106"/>
  <c r="AJ106"/>
  <c r="AI106"/>
  <c r="AH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M105"/>
  <c r="AL105"/>
  <c r="AK105"/>
  <c r="AJ105"/>
  <c r="AI105"/>
  <c r="AH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M104"/>
  <c r="AL104"/>
  <c r="AK104"/>
  <c r="AJ104"/>
  <c r="AI104"/>
  <c r="AH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M103"/>
  <c r="AL103"/>
  <c r="AK103"/>
  <c r="AJ103"/>
  <c r="AI103"/>
  <c r="AH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M102"/>
  <c r="AL102"/>
  <c r="AK102"/>
  <c r="AJ102"/>
  <c r="AI102"/>
  <c r="AH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M101"/>
  <c r="AL101"/>
  <c r="AK101"/>
  <c r="AJ101"/>
  <c r="AI101"/>
  <c r="AH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M100"/>
  <c r="AL100"/>
  <c r="AK100"/>
  <c r="AJ100"/>
  <c r="AI100"/>
  <c r="AH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M99"/>
  <c r="AL99"/>
  <c r="AK99"/>
  <c r="AJ99"/>
  <c r="AI99"/>
  <c r="AH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M98"/>
  <c r="AL98"/>
  <c r="AK98"/>
  <c r="AJ98"/>
  <c r="AI98"/>
  <c r="AH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M97"/>
  <c r="AL97"/>
  <c r="AK97"/>
  <c r="AJ97"/>
  <c r="AI97"/>
  <c r="AH97"/>
  <c r="X97"/>
  <c r="W97"/>
  <c r="V97"/>
  <c r="U97"/>
  <c r="T97"/>
  <c r="S97"/>
  <c r="R97"/>
  <c r="Q97"/>
  <c r="P97"/>
  <c r="O97"/>
  <c r="N97"/>
  <c r="M97"/>
  <c r="L97"/>
  <c r="K97"/>
  <c r="J97"/>
  <c r="F97"/>
  <c r="E97"/>
  <c r="D97"/>
  <c r="C97"/>
  <c r="B97"/>
  <c r="A97"/>
  <c r="AM96"/>
  <c r="AL96"/>
  <c r="AK96"/>
  <c r="AJ96"/>
  <c r="AI96"/>
  <c r="AH96"/>
  <c r="X96"/>
  <c r="W96"/>
  <c r="V96"/>
  <c r="U96"/>
  <c r="T96"/>
  <c r="S96"/>
  <c r="R96"/>
  <c r="Q96"/>
  <c r="P96"/>
  <c r="O96"/>
  <c r="N96"/>
  <c r="M96"/>
  <c r="L96"/>
  <c r="K96"/>
  <c r="J96"/>
  <c r="F96"/>
  <c r="E96"/>
  <c r="D96"/>
  <c r="C96"/>
  <c r="B96"/>
  <c r="A96"/>
  <c r="AM95"/>
  <c r="AL95"/>
  <c r="AK95"/>
  <c r="AJ95"/>
  <c r="AI95"/>
  <c r="AH95"/>
  <c r="X95"/>
  <c r="W95"/>
  <c r="V95"/>
  <c r="U95"/>
  <c r="T95"/>
  <c r="S95"/>
  <c r="R95"/>
  <c r="Q95"/>
  <c r="P95"/>
  <c r="L95"/>
  <c r="K95"/>
  <c r="J95"/>
  <c r="F95"/>
  <c r="E95"/>
  <c r="D95"/>
  <c r="C95"/>
  <c r="B95"/>
  <c r="A95"/>
  <c r="AM94"/>
  <c r="AL94"/>
  <c r="AK94"/>
  <c r="AJ94"/>
  <c r="AI94"/>
  <c r="AH94"/>
  <c r="X94"/>
  <c r="W94"/>
  <c r="V94"/>
  <c r="U94"/>
  <c r="T94"/>
  <c r="S94"/>
  <c r="R94"/>
  <c r="Q94"/>
  <c r="P94"/>
  <c r="L94"/>
  <c r="K94"/>
  <c r="J94"/>
  <c r="F94"/>
  <c r="E94"/>
  <c r="D94"/>
  <c r="C94"/>
  <c r="B94"/>
  <c r="A94"/>
  <c r="AM93"/>
  <c r="AL93"/>
  <c r="AK93"/>
  <c r="X93"/>
  <c r="W93"/>
  <c r="V93"/>
  <c r="U93"/>
  <c r="T93"/>
  <c r="S93"/>
  <c r="R93"/>
  <c r="Q93"/>
  <c r="P93"/>
  <c r="L93"/>
  <c r="K93"/>
  <c r="J93"/>
  <c r="F93"/>
  <c r="E93"/>
  <c r="D93"/>
  <c r="C93"/>
  <c r="B93"/>
  <c r="A93"/>
  <c r="AM92"/>
  <c r="AL92"/>
  <c r="AK92"/>
  <c r="X92"/>
  <c r="W92"/>
  <c r="V92"/>
  <c r="U92"/>
  <c r="T92"/>
  <c r="S92"/>
  <c r="R92"/>
  <c r="Q92"/>
  <c r="P92"/>
  <c r="L92"/>
  <c r="K92"/>
  <c r="J92"/>
  <c r="F92"/>
  <c r="E92"/>
  <c r="D92"/>
  <c r="C92"/>
  <c r="B92"/>
  <c r="A92"/>
  <c r="AM91"/>
  <c r="AL91"/>
  <c r="AK91"/>
  <c r="X91"/>
  <c r="W91"/>
  <c r="V91"/>
  <c r="U91"/>
  <c r="T91"/>
  <c r="S91"/>
  <c r="R91"/>
  <c r="Q91"/>
  <c r="P91"/>
  <c r="L91"/>
  <c r="K91"/>
  <c r="J91"/>
  <c r="F91"/>
  <c r="E91"/>
  <c r="D91"/>
  <c r="C91"/>
  <c r="B91"/>
  <c r="A91"/>
  <c r="AM90"/>
  <c r="AL90"/>
  <c r="AK90"/>
  <c r="X90"/>
  <c r="W90"/>
  <c r="V90"/>
  <c r="U90"/>
  <c r="T90"/>
  <c r="S90"/>
  <c r="R90"/>
  <c r="Q90"/>
  <c r="P90"/>
  <c r="L90"/>
  <c r="K90"/>
  <c r="J90"/>
  <c r="F90"/>
  <c r="E90"/>
  <c r="D90"/>
  <c r="C90"/>
  <c r="B90"/>
  <c r="A90"/>
  <c r="AM89"/>
  <c r="AL89"/>
  <c r="AK89"/>
  <c r="X89"/>
  <c r="W89"/>
  <c r="V89"/>
  <c r="U89"/>
  <c r="T89"/>
  <c r="S89"/>
  <c r="R89"/>
  <c r="Q89"/>
  <c r="P89"/>
  <c r="L89"/>
  <c r="K89"/>
  <c r="J89"/>
  <c r="F89"/>
  <c r="E89"/>
  <c r="D89"/>
  <c r="C89"/>
  <c r="B89"/>
  <c r="A89"/>
  <c r="AM88"/>
  <c r="AL88"/>
  <c r="AK88"/>
  <c r="X88"/>
  <c r="W88"/>
  <c r="V88"/>
  <c r="U88"/>
  <c r="T88"/>
  <c r="S88"/>
  <c r="R88"/>
  <c r="Q88"/>
  <c r="P88"/>
  <c r="L88"/>
  <c r="K88"/>
  <c r="J88"/>
  <c r="F88"/>
  <c r="E88"/>
  <c r="D88"/>
  <c r="C88"/>
  <c r="B88"/>
  <c r="A88"/>
  <c r="AM87"/>
  <c r="AL87"/>
  <c r="AK87"/>
  <c r="X87"/>
  <c r="W87"/>
  <c r="V87"/>
  <c r="U87"/>
  <c r="T87"/>
  <c r="S87"/>
  <c r="R87"/>
  <c r="Q87"/>
  <c r="P87"/>
  <c r="L87"/>
  <c r="K87"/>
  <c r="J87"/>
  <c r="F87"/>
  <c r="E87"/>
  <c r="D87"/>
  <c r="C87"/>
  <c r="B87"/>
  <c r="A87"/>
  <c r="AM86"/>
  <c r="AL86"/>
  <c r="AK86"/>
  <c r="X86"/>
  <c r="W86"/>
  <c r="V86"/>
  <c r="U86"/>
  <c r="T86"/>
  <c r="S86"/>
  <c r="R86"/>
  <c r="Q86"/>
  <c r="P86"/>
  <c r="L86"/>
  <c r="K86"/>
  <c r="J86"/>
  <c r="F86"/>
  <c r="E86"/>
  <c r="D86"/>
  <c r="C86"/>
  <c r="B86"/>
  <c r="A86"/>
  <c r="AM85"/>
  <c r="AL85"/>
  <c r="AK85"/>
  <c r="X85"/>
  <c r="W85"/>
  <c r="V85"/>
  <c r="U85"/>
  <c r="T85"/>
  <c r="S85"/>
  <c r="R85"/>
  <c r="Q85"/>
  <c r="P85"/>
  <c r="L85"/>
  <c r="K85"/>
  <c r="J85"/>
  <c r="F85"/>
  <c r="E85"/>
  <c r="D85"/>
  <c r="C85"/>
  <c r="B85"/>
  <c r="A85"/>
  <c r="AM84"/>
  <c r="AL84"/>
  <c r="AK84"/>
  <c r="X84"/>
  <c r="W84"/>
  <c r="V84"/>
  <c r="U84"/>
  <c r="T84"/>
  <c r="S84"/>
  <c r="R84"/>
  <c r="Q84"/>
  <c r="P84"/>
  <c r="L84"/>
  <c r="K84"/>
  <c r="J84"/>
  <c r="F84"/>
  <c r="E84"/>
  <c r="D84"/>
  <c r="C84"/>
  <c r="B84"/>
  <c r="A84"/>
  <c r="AM83"/>
  <c r="AL83"/>
  <c r="AK83"/>
  <c r="X83"/>
  <c r="W83"/>
  <c r="V83"/>
  <c r="U83"/>
  <c r="T83"/>
  <c r="S83"/>
  <c r="R83"/>
  <c r="Q83"/>
  <c r="P83"/>
  <c r="L83"/>
  <c r="K83"/>
  <c r="J83"/>
  <c r="F83"/>
  <c r="E83"/>
  <c r="D83"/>
  <c r="C83"/>
  <c r="B83"/>
  <c r="A83"/>
  <c r="AM82"/>
  <c r="AL82"/>
  <c r="AK82"/>
  <c r="X82"/>
  <c r="W82"/>
  <c r="V82"/>
  <c r="U82"/>
  <c r="T82"/>
  <c r="S82"/>
  <c r="R82"/>
  <c r="Q82"/>
  <c r="P82"/>
  <c r="L82"/>
  <c r="K82"/>
  <c r="J82"/>
  <c r="F82"/>
  <c r="E82"/>
  <c r="D82"/>
  <c r="C82"/>
  <c r="B82"/>
  <c r="A82"/>
  <c r="AM81"/>
  <c r="AL81"/>
  <c r="AK81"/>
  <c r="X81"/>
  <c r="W81"/>
  <c r="V81"/>
  <c r="U81"/>
  <c r="T81"/>
  <c r="S81"/>
  <c r="R81"/>
  <c r="Q81"/>
  <c r="P81"/>
  <c r="L81"/>
  <c r="K81"/>
  <c r="J81"/>
  <c r="F81"/>
  <c r="E81"/>
  <c r="D81"/>
  <c r="C81"/>
  <c r="B81"/>
  <c r="A81"/>
  <c r="AM80"/>
  <c r="AL80"/>
  <c r="AK80"/>
  <c r="X80"/>
  <c r="W80"/>
  <c r="V80"/>
  <c r="U80"/>
  <c r="T80"/>
  <c r="S80"/>
  <c r="R80"/>
  <c r="Q80"/>
  <c r="P80"/>
  <c r="L80"/>
  <c r="K80"/>
  <c r="J80"/>
  <c r="F80"/>
  <c r="E80"/>
  <c r="D80"/>
  <c r="C80"/>
  <c r="B80"/>
  <c r="A80"/>
  <c r="AM79"/>
  <c r="AL79"/>
  <c r="AK79"/>
  <c r="X79"/>
  <c r="W79"/>
  <c r="V79"/>
  <c r="U79"/>
  <c r="T79"/>
  <c r="S79"/>
  <c r="R79"/>
  <c r="Q79"/>
  <c r="P79"/>
  <c r="L79"/>
  <c r="K79"/>
  <c r="J79"/>
  <c r="F79"/>
  <c r="E79"/>
  <c r="D79"/>
  <c r="C79"/>
  <c r="B79"/>
  <c r="A79"/>
  <c r="AM78"/>
  <c r="AL78"/>
  <c r="AK78"/>
  <c r="X78"/>
  <c r="W78"/>
  <c r="V78"/>
  <c r="U78"/>
  <c r="T78"/>
  <c r="S78"/>
  <c r="R78"/>
  <c r="Q78"/>
  <c r="P78"/>
  <c r="L78"/>
  <c r="K78"/>
  <c r="J78"/>
  <c r="F78"/>
  <c r="E78"/>
  <c r="D78"/>
  <c r="C78"/>
  <c r="B78"/>
  <c r="A78"/>
  <c r="AM77"/>
  <c r="AL77"/>
  <c r="AK77"/>
  <c r="X77"/>
  <c r="W77"/>
  <c r="V77"/>
  <c r="U77"/>
  <c r="T77"/>
  <c r="S77"/>
  <c r="R77"/>
  <c r="Q77"/>
  <c r="P77"/>
  <c r="L77"/>
  <c r="K77"/>
  <c r="J77"/>
  <c r="F77"/>
  <c r="E77"/>
  <c r="D77"/>
  <c r="C77"/>
  <c r="B77"/>
  <c r="A77"/>
  <c r="AM76"/>
  <c r="AL76"/>
  <c r="AK76"/>
  <c r="X76"/>
  <c r="W76"/>
  <c r="V76"/>
  <c r="U76"/>
  <c r="T76"/>
  <c r="S76"/>
  <c r="R76"/>
  <c r="Q76"/>
  <c r="P76"/>
  <c r="L76"/>
  <c r="K76"/>
  <c r="J76"/>
  <c r="F76"/>
  <c r="E76"/>
  <c r="D76"/>
  <c r="C76"/>
  <c r="B76"/>
  <c r="A76"/>
  <c r="AM75"/>
  <c r="AL75"/>
  <c r="AK75"/>
  <c r="X75"/>
  <c r="W75"/>
  <c r="V75"/>
  <c r="U75"/>
  <c r="T75"/>
  <c r="S75"/>
  <c r="R75"/>
  <c r="Q75"/>
  <c r="P75"/>
  <c r="L75"/>
  <c r="K75"/>
  <c r="J75"/>
  <c r="F75"/>
  <c r="E75"/>
  <c r="D75"/>
  <c r="C75"/>
  <c r="B75"/>
  <c r="A75"/>
  <c r="AM74"/>
  <c r="AL74"/>
  <c r="AK74"/>
  <c r="X74"/>
  <c r="W74"/>
  <c r="V74"/>
  <c r="U74"/>
  <c r="T74"/>
  <c r="S74"/>
  <c r="R74"/>
  <c r="Q74"/>
  <c r="P74"/>
  <c r="L74"/>
  <c r="K74"/>
  <c r="J74"/>
  <c r="F74"/>
  <c r="E74"/>
  <c r="D74"/>
  <c r="C74"/>
  <c r="B74"/>
  <c r="A74"/>
  <c r="AM73"/>
  <c r="AL73"/>
  <c r="AK73"/>
  <c r="X73"/>
  <c r="W73"/>
  <c r="V73"/>
  <c r="U73"/>
  <c r="T73"/>
  <c r="S73"/>
  <c r="R73"/>
  <c r="Q73"/>
  <c r="P73"/>
  <c r="L73"/>
  <c r="K73"/>
  <c r="J73"/>
  <c r="F73"/>
  <c r="E73"/>
  <c r="D73"/>
  <c r="C73"/>
  <c r="B73"/>
  <c r="A73"/>
  <c r="AM72"/>
  <c r="AL72"/>
  <c r="AK72"/>
  <c r="X72"/>
  <c r="W72"/>
  <c r="V72"/>
  <c r="U72"/>
  <c r="T72"/>
  <c r="S72"/>
  <c r="R72"/>
  <c r="Q72"/>
  <c r="P72"/>
  <c r="L72"/>
  <c r="K72"/>
  <c r="J72"/>
  <c r="F72"/>
  <c r="E72"/>
  <c r="D72"/>
  <c r="C72"/>
  <c r="B72"/>
  <c r="A72"/>
  <c r="AM71"/>
  <c r="AL71"/>
  <c r="AK71"/>
  <c r="X71"/>
  <c r="W71"/>
  <c r="V71"/>
  <c r="U71"/>
  <c r="T71"/>
  <c r="S71"/>
  <c r="R71"/>
  <c r="Q71"/>
  <c r="P71"/>
  <c r="L71"/>
  <c r="K71"/>
  <c r="J71"/>
  <c r="F71"/>
  <c r="E71"/>
  <c r="D71"/>
  <c r="C71"/>
  <c r="B71"/>
  <c r="A71"/>
  <c r="AM70"/>
  <c r="AL70"/>
  <c r="AK70"/>
  <c r="X70"/>
  <c r="W70"/>
  <c r="V70"/>
  <c r="U70"/>
  <c r="T70"/>
  <c r="S70"/>
  <c r="R70"/>
  <c r="Q70"/>
  <c r="P70"/>
  <c r="L70"/>
  <c r="K70"/>
  <c r="J70"/>
  <c r="F70"/>
  <c r="E70"/>
  <c r="D70"/>
  <c r="C70"/>
  <c r="B70"/>
  <c r="A70"/>
  <c r="AM69"/>
  <c r="AL69"/>
  <c r="AK69"/>
  <c r="X69"/>
  <c r="W69"/>
  <c r="V69"/>
  <c r="U69"/>
  <c r="T69"/>
  <c r="S69"/>
  <c r="R69"/>
  <c r="Q69"/>
  <c r="P69"/>
  <c r="L69"/>
  <c r="K69"/>
  <c r="J69"/>
  <c r="F69"/>
  <c r="E69"/>
  <c r="D69"/>
  <c r="C69"/>
  <c r="B69"/>
  <c r="A69"/>
  <c r="AM68"/>
  <c r="AL68"/>
  <c r="AK68"/>
  <c r="X68"/>
  <c r="W68"/>
  <c r="V68"/>
  <c r="U68"/>
  <c r="T68"/>
  <c r="S68"/>
  <c r="R68"/>
  <c r="Q68"/>
  <c r="P68"/>
  <c r="L68"/>
  <c r="K68"/>
  <c r="J68"/>
  <c r="F68"/>
  <c r="E68"/>
  <c r="D68"/>
  <c r="C68"/>
  <c r="B68"/>
  <c r="A68"/>
  <c r="AM67"/>
  <c r="AL67"/>
  <c r="AK67"/>
  <c r="X67"/>
  <c r="W67"/>
  <c r="V67"/>
  <c r="U67"/>
  <c r="T67"/>
  <c r="S67"/>
  <c r="R67"/>
  <c r="Q67"/>
  <c r="P67"/>
  <c r="L67"/>
  <c r="K67"/>
  <c r="J67"/>
  <c r="AM66"/>
  <c r="AL66"/>
  <c r="AK66"/>
  <c r="X66"/>
  <c r="W66"/>
  <c r="V66"/>
  <c r="U66"/>
  <c r="T66"/>
  <c r="S66"/>
  <c r="R66"/>
  <c r="Q66"/>
  <c r="P66"/>
  <c r="L66"/>
  <c r="K66"/>
  <c r="J66"/>
  <c r="AM65"/>
  <c r="AL65"/>
  <c r="AK65"/>
  <c r="X65"/>
  <c r="W65"/>
  <c r="V65"/>
  <c r="U65"/>
  <c r="T65"/>
  <c r="S65"/>
  <c r="R65"/>
  <c r="Q65"/>
  <c r="P65"/>
  <c r="L65"/>
  <c r="K65"/>
  <c r="J65"/>
  <c r="AM64"/>
  <c r="AL64"/>
  <c r="AK64"/>
  <c r="X64"/>
  <c r="W64"/>
  <c r="V64"/>
  <c r="U64"/>
  <c r="T64"/>
  <c r="S64"/>
  <c r="R64"/>
  <c r="Q64"/>
  <c r="P64"/>
  <c r="L64"/>
  <c r="K64"/>
  <c r="J64"/>
  <c r="AM63"/>
  <c r="AL63"/>
  <c r="AK63"/>
  <c r="X63"/>
  <c r="W63"/>
  <c r="V63"/>
  <c r="U63"/>
  <c r="T63"/>
  <c r="S63"/>
  <c r="R63"/>
  <c r="Q63"/>
  <c r="P63"/>
  <c r="L63"/>
  <c r="K63"/>
  <c r="J63"/>
  <c r="AM62"/>
  <c r="AL62"/>
  <c r="AK62"/>
  <c r="X62"/>
  <c r="W62"/>
  <c r="V62"/>
  <c r="U62"/>
  <c r="T62"/>
  <c r="S62"/>
  <c r="R62"/>
  <c r="Q62"/>
  <c r="P62"/>
  <c r="L62"/>
  <c r="K62"/>
  <c r="J62"/>
  <c r="AM61"/>
  <c r="AL61"/>
  <c r="AK61"/>
  <c r="X61"/>
  <c r="W61"/>
  <c r="V61"/>
  <c r="U61"/>
  <c r="T61"/>
  <c r="S61"/>
  <c r="R61"/>
  <c r="Q61"/>
  <c r="P61"/>
  <c r="L61"/>
  <c r="K61"/>
  <c r="J61"/>
  <c r="AM60"/>
  <c r="AL60"/>
  <c r="AK60"/>
  <c r="X60"/>
  <c r="W60"/>
  <c r="V60"/>
  <c r="U60"/>
  <c r="T60"/>
  <c r="S60"/>
  <c r="R60"/>
  <c r="Q60"/>
  <c r="P60"/>
  <c r="L60"/>
  <c r="K60"/>
  <c r="J60"/>
  <c r="AM59"/>
  <c r="AL59"/>
  <c r="AK59"/>
  <c r="X59"/>
  <c r="W59"/>
  <c r="V59"/>
  <c r="U59"/>
  <c r="T59"/>
  <c r="S59"/>
  <c r="R59"/>
  <c r="Q59"/>
  <c r="P59"/>
  <c r="L59"/>
  <c r="K59"/>
  <c r="J59"/>
  <c r="AM58"/>
  <c r="AL58"/>
  <c r="AK58"/>
  <c r="X58"/>
  <c r="W58"/>
  <c r="V58"/>
  <c r="U58"/>
  <c r="T58"/>
  <c r="S58"/>
  <c r="R58"/>
  <c r="Q58"/>
  <c r="P58"/>
  <c r="L58"/>
  <c r="K58"/>
  <c r="J58"/>
  <c r="AM57"/>
  <c r="AL57"/>
  <c r="AK57"/>
  <c r="X57"/>
  <c r="W57"/>
  <c r="V57"/>
  <c r="U57"/>
  <c r="T57"/>
  <c r="S57"/>
  <c r="R57"/>
  <c r="Q57"/>
  <c r="P57"/>
  <c r="L57"/>
  <c r="K57"/>
  <c r="J57"/>
  <c r="AM56"/>
  <c r="AL56"/>
  <c r="AK56"/>
  <c r="X56"/>
  <c r="W56"/>
  <c r="V56"/>
  <c r="U56"/>
  <c r="T56"/>
  <c r="S56"/>
  <c r="R56"/>
  <c r="Q56"/>
  <c r="P56"/>
  <c r="L56"/>
  <c r="K56"/>
  <c r="J56"/>
  <c r="AM55"/>
  <c r="AL55"/>
  <c r="AK55"/>
  <c r="X55"/>
  <c r="W55"/>
  <c r="V55"/>
  <c r="U55"/>
  <c r="T55"/>
  <c r="S55"/>
  <c r="R55"/>
  <c r="Q55"/>
  <c r="P55"/>
  <c r="L55"/>
  <c r="K55"/>
  <c r="J55"/>
  <c r="AM54"/>
  <c r="AL54"/>
  <c r="AK54"/>
  <c r="X54"/>
  <c r="W54"/>
  <c r="V54"/>
  <c r="U54"/>
  <c r="T54"/>
  <c r="S54"/>
  <c r="R54"/>
  <c r="Q54"/>
  <c r="P54"/>
  <c r="L54"/>
  <c r="K54"/>
  <c r="J54"/>
  <c r="AM53"/>
  <c r="AL53"/>
  <c r="AK53"/>
  <c r="X53"/>
  <c r="W53"/>
  <c r="V53"/>
  <c r="U53"/>
  <c r="T53"/>
  <c r="S53"/>
  <c r="R53"/>
  <c r="Q53"/>
  <c r="P53"/>
  <c r="L53"/>
  <c r="K53"/>
  <c r="J53"/>
  <c r="AM52"/>
  <c r="AL52"/>
  <c r="AK52"/>
  <c r="X52"/>
  <c r="W52"/>
  <c r="V52"/>
  <c r="U52"/>
  <c r="T52"/>
  <c r="S52"/>
  <c r="R52"/>
  <c r="Q52"/>
  <c r="P52"/>
  <c r="L52"/>
  <c r="K52"/>
  <c r="J52"/>
  <c r="AM51"/>
  <c r="AL51"/>
  <c r="AK51"/>
  <c r="X51"/>
  <c r="W51"/>
  <c r="V51"/>
  <c r="U51"/>
  <c r="T51"/>
  <c r="S51"/>
  <c r="R51"/>
  <c r="Q51"/>
  <c r="P51"/>
  <c r="L51"/>
  <c r="K51"/>
  <c r="J51"/>
  <c r="AM50"/>
  <c r="AL50"/>
  <c r="AK50"/>
  <c r="X50"/>
  <c r="W50"/>
  <c r="V50"/>
  <c r="U50"/>
  <c r="T50"/>
  <c r="S50"/>
  <c r="R50"/>
  <c r="Q50"/>
  <c r="P50"/>
  <c r="L50"/>
  <c r="K50"/>
  <c r="J50"/>
  <c r="AM49"/>
  <c r="AL49"/>
  <c r="AK49"/>
  <c r="X49"/>
  <c r="W49"/>
  <c r="V49"/>
  <c r="U49"/>
  <c r="T49"/>
  <c r="S49"/>
  <c r="R49"/>
  <c r="Q49"/>
  <c r="P49"/>
  <c r="L49"/>
  <c r="K49"/>
  <c r="J49"/>
  <c r="AM48"/>
  <c r="AL48"/>
  <c r="AK48"/>
  <c r="X48"/>
  <c r="W48"/>
  <c r="V48"/>
  <c r="U48"/>
  <c r="T48"/>
  <c r="S48"/>
  <c r="R48"/>
  <c r="Q48"/>
  <c r="P48"/>
  <c r="L48"/>
  <c r="K48"/>
  <c r="J48"/>
  <c r="AM47"/>
  <c r="AL47"/>
  <c r="AK47"/>
  <c r="X47"/>
  <c r="W47"/>
  <c r="V47"/>
  <c r="U47"/>
  <c r="T47"/>
  <c r="S47"/>
  <c r="R47"/>
  <c r="Q47"/>
  <c r="P47"/>
  <c r="L47"/>
  <c r="K47"/>
  <c r="J47"/>
  <c r="AM46"/>
  <c r="AL46"/>
  <c r="AK46"/>
  <c r="X46"/>
  <c r="W46"/>
  <c r="V46"/>
  <c r="U46"/>
  <c r="T46"/>
  <c r="S46"/>
  <c r="R46"/>
  <c r="Q46"/>
  <c r="P46"/>
  <c r="L46"/>
  <c r="K46"/>
  <c r="J46"/>
  <c r="X45"/>
  <c r="W45"/>
  <c r="V45"/>
  <c r="U45"/>
  <c r="T45"/>
  <c r="S45"/>
  <c r="R45"/>
  <c r="Q45"/>
  <c r="P45"/>
  <c r="L45"/>
  <c r="K45"/>
  <c r="J45"/>
  <c r="X44"/>
  <c r="W44"/>
  <c r="V44"/>
  <c r="U44"/>
  <c r="T44"/>
  <c r="S44"/>
  <c r="R44"/>
  <c r="Q44"/>
  <c r="P44"/>
  <c r="L44"/>
  <c r="K44"/>
  <c r="J44"/>
  <c r="X43"/>
  <c r="W43"/>
  <c r="V43"/>
  <c r="U43"/>
  <c r="T43"/>
  <c r="S43"/>
  <c r="R43"/>
  <c r="Q43"/>
  <c r="P43"/>
  <c r="L43"/>
  <c r="K43"/>
  <c r="J43"/>
  <c r="X42"/>
  <c r="W42"/>
  <c r="V42"/>
  <c r="U42"/>
  <c r="T42"/>
  <c r="S42"/>
  <c r="R42"/>
  <c r="Q42"/>
  <c r="P42"/>
  <c r="L42"/>
  <c r="K42"/>
  <c r="J42"/>
  <c r="X41"/>
  <c r="W41"/>
  <c r="V41"/>
  <c r="U41"/>
  <c r="T41"/>
  <c r="S41"/>
  <c r="R41"/>
  <c r="Q41"/>
  <c r="P41"/>
  <c r="L41"/>
  <c r="K41"/>
  <c r="J41"/>
  <c r="X40"/>
  <c r="W40"/>
  <c r="V40"/>
  <c r="U40"/>
  <c r="T40"/>
  <c r="S40"/>
  <c r="R40"/>
  <c r="Q40"/>
  <c r="P40"/>
  <c r="L40"/>
  <c r="K40"/>
  <c r="J40"/>
  <c r="X39"/>
  <c r="W39"/>
  <c r="V39"/>
  <c r="U39"/>
  <c r="T39"/>
  <c r="S39"/>
  <c r="R39"/>
  <c r="Q39"/>
  <c r="P39"/>
  <c r="L39"/>
  <c r="K39"/>
  <c r="J39"/>
  <c r="X38"/>
  <c r="W38"/>
  <c r="V38"/>
  <c r="U38"/>
  <c r="T38"/>
  <c r="S38"/>
  <c r="R38"/>
  <c r="Q38"/>
  <c r="P38"/>
  <c r="L38"/>
  <c r="K38"/>
  <c r="J38"/>
  <c r="X37"/>
  <c r="W37"/>
  <c r="V37"/>
  <c r="U37"/>
  <c r="T37"/>
  <c r="S37"/>
  <c r="R37"/>
  <c r="Q37"/>
  <c r="P37"/>
  <c r="L37"/>
  <c r="K37"/>
  <c r="J37"/>
  <c r="X36"/>
  <c r="W36"/>
  <c r="V36"/>
  <c r="U36"/>
  <c r="T36"/>
  <c r="S36"/>
  <c r="R36"/>
  <c r="Q36"/>
  <c r="P36"/>
  <c r="L36"/>
  <c r="K36"/>
  <c r="J36"/>
  <c r="X35"/>
  <c r="W35"/>
  <c r="V35"/>
  <c r="U35"/>
  <c r="T35"/>
  <c r="S35"/>
  <c r="R35"/>
  <c r="Q35"/>
  <c r="P35"/>
  <c r="L35"/>
  <c r="K35"/>
  <c r="J35"/>
  <c r="X34"/>
  <c r="W34"/>
  <c r="V34"/>
  <c r="U34"/>
  <c r="T34"/>
  <c r="S34"/>
  <c r="R34"/>
  <c r="Q34"/>
  <c r="P34"/>
  <c r="L34"/>
  <c r="K34"/>
  <c r="J34"/>
  <c r="X33"/>
  <c r="W33"/>
  <c r="V33"/>
  <c r="U33"/>
  <c r="T33"/>
  <c r="S33"/>
  <c r="R33"/>
  <c r="Q33"/>
  <c r="P33"/>
  <c r="L33"/>
  <c r="K33"/>
  <c r="J33"/>
  <c r="X32"/>
  <c r="W32"/>
  <c r="V32"/>
  <c r="U32"/>
  <c r="T32"/>
  <c r="S32"/>
  <c r="R32"/>
  <c r="Q32"/>
  <c r="P32"/>
  <c r="L32"/>
  <c r="K32"/>
  <c r="J32"/>
  <c r="X31"/>
  <c r="W31"/>
  <c r="V31"/>
  <c r="U31"/>
  <c r="T31"/>
  <c r="S31"/>
  <c r="R31"/>
  <c r="Q31"/>
  <c r="P31"/>
  <c r="L31"/>
  <c r="K31"/>
  <c r="J31"/>
  <c r="X30"/>
  <c r="W30"/>
  <c r="V30"/>
  <c r="U30"/>
  <c r="T30"/>
  <c r="S30"/>
  <c r="R30"/>
  <c r="Q30"/>
  <c r="P30"/>
  <c r="L30"/>
  <c r="K30"/>
  <c r="J30"/>
  <c r="X29"/>
  <c r="W29"/>
  <c r="V29"/>
  <c r="U29"/>
  <c r="T29"/>
  <c r="S29"/>
  <c r="R29"/>
  <c r="Q29"/>
  <c r="P29"/>
  <c r="L29"/>
  <c r="K29"/>
  <c r="J29"/>
  <c r="X28"/>
  <c r="W28"/>
  <c r="V28"/>
  <c r="U28"/>
  <c r="T28"/>
  <c r="S28"/>
  <c r="R28"/>
  <c r="Q28"/>
  <c r="P28"/>
  <c r="L28"/>
  <c r="K28"/>
  <c r="J28"/>
  <c r="X27"/>
  <c r="W27"/>
  <c r="V27"/>
  <c r="U27"/>
  <c r="T27"/>
  <c r="S27"/>
  <c r="R27"/>
  <c r="Q27"/>
  <c r="P27"/>
  <c r="L27"/>
  <c r="K27"/>
  <c r="J27"/>
  <c r="X26"/>
  <c r="W26"/>
  <c r="V26"/>
  <c r="U26"/>
  <c r="T26"/>
  <c r="S26"/>
  <c r="R26"/>
  <c r="Q26"/>
  <c r="P26"/>
  <c r="L26"/>
  <c r="K26"/>
  <c r="J26"/>
  <c r="U25"/>
  <c r="T25"/>
  <c r="S25"/>
  <c r="R25"/>
  <c r="Q25"/>
  <c r="P25"/>
  <c r="L25"/>
  <c r="K25"/>
  <c r="J25"/>
  <c r="U24"/>
  <c r="T24"/>
  <c r="S24"/>
  <c r="R24"/>
  <c r="Q24"/>
  <c r="P24"/>
  <c r="L24"/>
  <c r="K24"/>
  <c r="J24"/>
  <c r="U23"/>
  <c r="T23"/>
  <c r="S23"/>
  <c r="R23"/>
  <c r="Q23"/>
  <c r="P23"/>
  <c r="L23"/>
  <c r="K23"/>
  <c r="J23"/>
  <c r="U22"/>
  <c r="T22"/>
  <c r="S22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F3"/>
  <c r="I3"/>
  <c r="L3"/>
  <c r="O3"/>
  <c r="R3"/>
  <c r="U3"/>
  <c r="X3"/>
  <c r="AA3"/>
  <c r="AD3"/>
  <c r="AG3"/>
  <c r="AJ3"/>
  <c r="AM3"/>
  <c r="AP3"/>
  <c r="AS3"/>
  <c r="E3"/>
  <c r="H3"/>
  <c r="K3"/>
  <c r="N3"/>
  <c r="Q3"/>
  <c r="T3"/>
  <c r="W3"/>
  <c r="Z3"/>
  <c r="AC3"/>
  <c r="AF3"/>
  <c r="AI3"/>
  <c r="AL3"/>
  <c r="AO3"/>
  <c r="AR3"/>
  <c r="D3"/>
  <c r="G3"/>
  <c r="J3"/>
  <c r="M3"/>
  <c r="P3"/>
  <c r="S3"/>
  <c r="V3"/>
  <c r="Y3"/>
  <c r="AB3"/>
  <c r="AE3"/>
  <c r="AH3"/>
  <c r="AK3"/>
  <c r="AN3"/>
  <c r="AQ3"/>
  <c r="B1"/>
  <c r="C1"/>
  <c r="D1"/>
  <c r="G1"/>
  <c r="A2"/>
  <c r="A34" i="19"/>
  <c r="A3" i="20"/>
  <c r="G17" i="19" s="1"/>
  <c r="A5" i="20"/>
  <c r="A7"/>
  <c r="F34" i="19" s="1"/>
  <c r="A9" i="20"/>
  <c r="A11"/>
  <c r="A13"/>
  <c r="A32" i="19"/>
  <c r="A15" i="20"/>
  <c r="A30" i="19"/>
  <c r="A17" i="20"/>
  <c r="A28" i="19"/>
  <c r="A26"/>
  <c r="A19" i="20"/>
  <c r="A21"/>
  <c r="A23"/>
  <c r="A25"/>
  <c r="A27"/>
  <c r="A24" i="19"/>
  <c r="G23"/>
  <c r="A22"/>
  <c r="G22"/>
  <c r="A20"/>
  <c r="A18"/>
  <c r="A16"/>
  <c r="A14"/>
  <c r="A12"/>
  <c r="A10"/>
  <c r="A29" i="20"/>
  <c r="A8" i="19"/>
  <c r="A31" i="20"/>
  <c r="A6" i="19"/>
  <c r="L31"/>
  <c r="H27"/>
  <c r="K24"/>
  <c r="F24"/>
  <c r="L23"/>
  <c r="K23"/>
  <c r="J23"/>
  <c r="I23"/>
  <c r="H23"/>
  <c r="F23"/>
  <c r="E23"/>
  <c r="I22"/>
  <c r="J21"/>
  <c r="E21"/>
  <c r="E20"/>
  <c r="K19"/>
  <c r="I19"/>
  <c r="F19"/>
  <c r="L18"/>
  <c r="J18"/>
  <c r="H18"/>
  <c r="E18"/>
  <c r="K17"/>
  <c r="I17"/>
  <c r="F17"/>
  <c r="L16"/>
  <c r="J16"/>
  <c r="H16"/>
  <c r="E16"/>
  <c r="K15"/>
  <c r="I15"/>
  <c r="F15"/>
  <c r="L14"/>
  <c r="J14"/>
  <c r="H14"/>
  <c r="E14"/>
  <c r="K13"/>
  <c r="I13"/>
  <c r="F13"/>
  <c r="L12"/>
  <c r="J12"/>
  <c r="H12"/>
  <c r="E12"/>
  <c r="K11"/>
  <c r="I11"/>
  <c r="F11"/>
  <c r="L10"/>
  <c r="J10"/>
  <c r="H10"/>
  <c r="E10"/>
  <c r="K9"/>
  <c r="I9"/>
  <c r="F9"/>
  <c r="L8"/>
  <c r="J8"/>
  <c r="H8"/>
  <c r="E8"/>
  <c r="K7"/>
  <c r="I7"/>
  <c r="F7"/>
  <c r="L6"/>
  <c r="J6"/>
  <c r="H6"/>
  <c r="E6"/>
  <c r="K5"/>
  <c r="I5"/>
  <c r="F5"/>
  <c r="D25"/>
  <c r="Q22" i="16"/>
  <c r="P22"/>
  <c r="O22"/>
  <c r="M22"/>
  <c r="L22"/>
  <c r="K22"/>
  <c r="J22"/>
  <c r="I22"/>
  <c r="H22"/>
  <c r="G22"/>
  <c r="E22"/>
  <c r="D22"/>
  <c r="H21" i="4"/>
  <c r="G21"/>
  <c r="F21"/>
  <c r="E21"/>
  <c r="D21"/>
  <c r="F9" i="18"/>
  <c r="E9"/>
  <c r="D9"/>
  <c r="C9"/>
  <c r="B9"/>
  <c r="B168" i="5"/>
  <c r="D158" i="13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A168" i="5"/>
  <c r="M168"/>
  <c r="N168" s="1"/>
  <c r="P168" s="1"/>
  <c r="B167"/>
  <c r="I167"/>
  <c r="J167" s="1"/>
  <c r="A167"/>
  <c r="M167" s="1"/>
  <c r="N167" s="1"/>
  <c r="P167" s="1"/>
  <c r="B166"/>
  <c r="A166"/>
  <c r="M166"/>
  <c r="N166" s="1"/>
  <c r="P166" s="1"/>
  <c r="B165"/>
  <c r="I165"/>
  <c r="J165" s="1"/>
  <c r="A165"/>
  <c r="M165" s="1"/>
  <c r="N165" s="1"/>
  <c r="B164"/>
  <c r="I164"/>
  <c r="J164" s="1"/>
  <c r="A164"/>
  <c r="M164" s="1"/>
  <c r="N164" s="1"/>
  <c r="P164" s="1"/>
  <c r="B163"/>
  <c r="I163" s="1"/>
  <c r="J163" s="1"/>
  <c r="A163"/>
  <c r="M163"/>
  <c r="N163" s="1"/>
  <c r="P163" s="1"/>
  <c r="B162"/>
  <c r="I162"/>
  <c r="J162" s="1"/>
  <c r="A162"/>
  <c r="M162" s="1"/>
  <c r="N162" s="1"/>
  <c r="P162" s="1"/>
  <c r="B161"/>
  <c r="I161" s="1"/>
  <c r="J161" s="1"/>
  <c r="A161"/>
  <c r="M161"/>
  <c r="N161" s="1"/>
  <c r="B160"/>
  <c r="I160" s="1"/>
  <c r="J160" s="1"/>
  <c r="A160"/>
  <c r="M160"/>
  <c r="N160" s="1"/>
  <c r="P160" s="1"/>
  <c r="B159"/>
  <c r="I159"/>
  <c r="J159" s="1"/>
  <c r="A159"/>
  <c r="M159" s="1"/>
  <c r="N159" s="1"/>
  <c r="P159" s="1"/>
  <c r="B158"/>
  <c r="I158" s="1"/>
  <c r="J158" s="1"/>
  <c r="A158"/>
  <c r="M158"/>
  <c r="N158" s="1"/>
  <c r="P158" s="1"/>
  <c r="B157"/>
  <c r="I157"/>
  <c r="J157" s="1"/>
  <c r="A157"/>
  <c r="M157" s="1"/>
  <c r="N157" s="1"/>
  <c r="B156"/>
  <c r="I156"/>
  <c r="J156" s="1"/>
  <c r="A156"/>
  <c r="M156" s="1"/>
  <c r="N156" s="1"/>
  <c r="P156" s="1"/>
  <c r="B155"/>
  <c r="I155" s="1"/>
  <c r="J155" s="1"/>
  <c r="A155"/>
  <c r="M155"/>
  <c r="N155" s="1"/>
  <c r="P155" s="1"/>
  <c r="B154"/>
  <c r="I154"/>
  <c r="J154" s="1"/>
  <c r="A154"/>
  <c r="M154" s="1"/>
  <c r="N154" s="1"/>
  <c r="P154" s="1"/>
  <c r="B153"/>
  <c r="I153" s="1"/>
  <c r="J153" s="1"/>
  <c r="A153"/>
  <c r="M153"/>
  <c r="N153" s="1"/>
  <c r="B152"/>
  <c r="I152" s="1"/>
  <c r="J152" s="1"/>
  <c r="A152"/>
  <c r="M152"/>
  <c r="N152" s="1"/>
  <c r="P152" s="1"/>
  <c r="B151"/>
  <c r="I151"/>
  <c r="J151" s="1"/>
  <c r="A151"/>
  <c r="M151" s="1"/>
  <c r="N151" s="1"/>
  <c r="P151" s="1"/>
  <c r="B150"/>
  <c r="I150" s="1"/>
  <c r="J150" s="1"/>
  <c r="A150"/>
  <c r="M150"/>
  <c r="N150" s="1"/>
  <c r="P150" s="1"/>
  <c r="B149"/>
  <c r="I149"/>
  <c r="J149" s="1"/>
  <c r="A149"/>
  <c r="M149" s="1"/>
  <c r="N149" s="1"/>
  <c r="B148"/>
  <c r="I148"/>
  <c r="J148" s="1"/>
  <c r="A148"/>
  <c r="M148" s="1"/>
  <c r="N148" s="1"/>
  <c r="B147"/>
  <c r="I147" s="1"/>
  <c r="J147"/>
  <c r="A147"/>
  <c r="M147"/>
  <c r="N147" s="1"/>
  <c r="P147" s="1"/>
  <c r="B146"/>
  <c r="I146"/>
  <c r="J146" s="1"/>
  <c r="A146"/>
  <c r="M146" s="1"/>
  <c r="N146" s="1"/>
  <c r="B145"/>
  <c r="I145" s="1"/>
  <c r="J145" s="1"/>
  <c r="A145"/>
  <c r="M145"/>
  <c r="N145" s="1"/>
  <c r="B144"/>
  <c r="I144" s="1"/>
  <c r="J144" s="1"/>
  <c r="A144"/>
  <c r="M144"/>
  <c r="N144" s="1"/>
  <c r="P144" s="1"/>
  <c r="B143"/>
  <c r="I143"/>
  <c r="J143" s="1"/>
  <c r="A143"/>
  <c r="M143" s="1"/>
  <c r="N143" s="1"/>
  <c r="B142"/>
  <c r="I142" s="1"/>
  <c r="J142"/>
  <c r="A142"/>
  <c r="M142"/>
  <c r="N142" s="1"/>
  <c r="P142" s="1"/>
  <c r="B141"/>
  <c r="I141"/>
  <c r="J141" s="1"/>
  <c r="A141"/>
  <c r="M141" s="1"/>
  <c r="N141" s="1"/>
  <c r="B140"/>
  <c r="I140"/>
  <c r="J140" s="1"/>
  <c r="A140"/>
  <c r="M140" s="1"/>
  <c r="N140" s="1"/>
  <c r="B139"/>
  <c r="I139" s="1"/>
  <c r="J139" s="1"/>
  <c r="A139"/>
  <c r="M139"/>
  <c r="N139" s="1"/>
  <c r="B138"/>
  <c r="I138" s="1"/>
  <c r="J138" s="1"/>
  <c r="A138"/>
  <c r="M138"/>
  <c r="N138" s="1"/>
  <c r="P138" s="1"/>
  <c r="B137"/>
  <c r="I137"/>
  <c r="J137" s="1"/>
  <c r="A137"/>
  <c r="M137" s="1"/>
  <c r="N137" s="1"/>
  <c r="B136"/>
  <c r="I136"/>
  <c r="J136" s="1"/>
  <c r="A136"/>
  <c r="M136" s="1"/>
  <c r="N136" s="1"/>
  <c r="B135"/>
  <c r="I135" s="1"/>
  <c r="J135"/>
  <c r="A135"/>
  <c r="M135"/>
  <c r="N135" s="1"/>
  <c r="B134"/>
  <c r="I134" s="1"/>
  <c r="J134"/>
  <c r="A134"/>
  <c r="M134"/>
  <c r="N134" s="1"/>
  <c r="P134" s="1"/>
  <c r="B133"/>
  <c r="I133"/>
  <c r="J133" s="1"/>
  <c r="A133"/>
  <c r="M133" s="1"/>
  <c r="N133" s="1"/>
  <c r="B132"/>
  <c r="I132"/>
  <c r="J132" s="1"/>
  <c r="A132"/>
  <c r="M132" s="1"/>
  <c r="N132" s="1"/>
  <c r="B131"/>
  <c r="I131" s="1"/>
  <c r="J131" s="1"/>
  <c r="A131"/>
  <c r="M131"/>
  <c r="N131" s="1"/>
  <c r="B130"/>
  <c r="I130" s="1"/>
  <c r="J130" s="1"/>
  <c r="A130"/>
  <c r="M130"/>
  <c r="N130" s="1"/>
  <c r="P130" s="1"/>
  <c r="B129"/>
  <c r="I129"/>
  <c r="J129" s="1"/>
  <c r="A129"/>
  <c r="M129" s="1"/>
  <c r="N129" s="1"/>
  <c r="B128"/>
  <c r="I128"/>
  <c r="J128" s="1"/>
  <c r="A128"/>
  <c r="M128" s="1"/>
  <c r="N128" s="1"/>
  <c r="B127"/>
  <c r="I127" s="1"/>
  <c r="J127"/>
  <c r="A127"/>
  <c r="M127"/>
  <c r="N127" s="1"/>
  <c r="B126"/>
  <c r="I126" s="1"/>
  <c r="J126"/>
  <c r="A126"/>
  <c r="M126"/>
  <c r="N126" s="1"/>
  <c r="P126" s="1"/>
  <c r="B125"/>
  <c r="I125"/>
  <c r="J125" s="1"/>
  <c r="A125"/>
  <c r="M125" s="1"/>
  <c r="N125" s="1"/>
  <c r="B124"/>
  <c r="I124"/>
  <c r="J124" s="1"/>
  <c r="A124"/>
  <c r="M124" s="1"/>
  <c r="N124" s="1"/>
  <c r="B123"/>
  <c r="I123" s="1"/>
  <c r="J123" s="1"/>
  <c r="A123"/>
  <c r="M123"/>
  <c r="N123" s="1"/>
  <c r="B122"/>
  <c r="I122" s="1"/>
  <c r="J122" s="1"/>
  <c r="A122"/>
  <c r="M122"/>
  <c r="N122" s="1"/>
  <c r="P122" s="1"/>
  <c r="B121"/>
  <c r="I121"/>
  <c r="J121" s="1"/>
  <c r="A121"/>
  <c r="M121" s="1"/>
  <c r="N121" s="1"/>
  <c r="B120"/>
  <c r="I120"/>
  <c r="J120" s="1"/>
  <c r="A120"/>
  <c r="M120" s="1"/>
  <c r="N120" s="1"/>
  <c r="B119"/>
  <c r="I119" s="1"/>
  <c r="J119"/>
  <c r="A119"/>
  <c r="M119"/>
  <c r="N119" s="1"/>
  <c r="B118"/>
  <c r="I118" s="1"/>
  <c r="J118"/>
  <c r="A118"/>
  <c r="M118"/>
  <c r="N118" s="1"/>
  <c r="P118" s="1"/>
  <c r="B117"/>
  <c r="I117"/>
  <c r="J117" s="1"/>
  <c r="A117"/>
  <c r="M117" s="1"/>
  <c r="N117" s="1"/>
  <c r="B116"/>
  <c r="I116"/>
  <c r="J116" s="1"/>
  <c r="A116"/>
  <c r="M116" s="1"/>
  <c r="N116" s="1"/>
  <c r="B115"/>
  <c r="I115" s="1"/>
  <c r="J115" s="1"/>
  <c r="A115"/>
  <c r="M115"/>
  <c r="N115" s="1"/>
  <c r="B114"/>
  <c r="I114" s="1"/>
  <c r="J114" s="1"/>
  <c r="A114"/>
  <c r="M114"/>
  <c r="N114" s="1"/>
  <c r="P114" s="1"/>
  <c r="B113"/>
  <c r="I113"/>
  <c r="J113" s="1"/>
  <c r="A113"/>
  <c r="M113" s="1"/>
  <c r="N113" s="1"/>
  <c r="B112"/>
  <c r="I112"/>
  <c r="J112" s="1"/>
  <c r="A112"/>
  <c r="M112" s="1"/>
  <c r="N112" s="1"/>
  <c r="B111"/>
  <c r="I111" s="1"/>
  <c r="J111"/>
  <c r="A111"/>
  <c r="M111"/>
  <c r="N111" s="1"/>
  <c r="B110"/>
  <c r="I110" s="1"/>
  <c r="J110"/>
  <c r="A110"/>
  <c r="M110"/>
  <c r="N110" s="1"/>
  <c r="P110" s="1"/>
  <c r="B109"/>
  <c r="I109"/>
  <c r="J109" s="1"/>
  <c r="A109"/>
  <c r="M109" s="1"/>
  <c r="N109" s="1"/>
  <c r="B108"/>
  <c r="I108"/>
  <c r="J108" s="1"/>
  <c r="A108"/>
  <c r="M108" s="1"/>
  <c r="N108" s="1"/>
  <c r="B107"/>
  <c r="I107" s="1"/>
  <c r="J107" s="1"/>
  <c r="A107"/>
  <c r="M107"/>
  <c r="N107" s="1"/>
  <c r="B106"/>
  <c r="I106" s="1"/>
  <c r="J106" s="1"/>
  <c r="A106"/>
  <c r="M106"/>
  <c r="N106" s="1"/>
  <c r="P106" s="1"/>
  <c r="B105"/>
  <c r="I105"/>
  <c r="J105" s="1"/>
  <c r="A105"/>
  <c r="M105" s="1"/>
  <c r="N105" s="1"/>
  <c r="B104"/>
  <c r="I104"/>
  <c r="J104" s="1"/>
  <c r="A104"/>
  <c r="M104" s="1"/>
  <c r="N104" s="1"/>
  <c r="B103"/>
  <c r="I103" s="1"/>
  <c r="J103"/>
  <c r="A103"/>
  <c r="M103"/>
  <c r="N103" s="1"/>
  <c r="B102"/>
  <c r="I102" s="1"/>
  <c r="J102"/>
  <c r="A102"/>
  <c r="M102"/>
  <c r="N102" s="1"/>
  <c r="P102" s="1"/>
  <c r="B101"/>
  <c r="I101"/>
  <c r="J101" s="1"/>
  <c r="A101"/>
  <c r="M101" s="1"/>
  <c r="N101" s="1"/>
  <c r="B100"/>
  <c r="I100"/>
  <c r="J100" s="1"/>
  <c r="A100"/>
  <c r="M100" s="1"/>
  <c r="N100" s="1"/>
  <c r="B99"/>
  <c r="I99" s="1"/>
  <c r="J99" s="1"/>
  <c r="A99"/>
  <c r="M99"/>
  <c r="N99" s="1"/>
  <c r="B98"/>
  <c r="I98" s="1"/>
  <c r="J98" s="1"/>
  <c r="A98"/>
  <c r="M98"/>
  <c r="N98" s="1"/>
  <c r="P98" s="1"/>
  <c r="B97"/>
  <c r="I97"/>
  <c r="J97" s="1"/>
  <c r="A97"/>
  <c r="M97" s="1"/>
  <c r="N97" s="1"/>
  <c r="B96"/>
  <c r="I96"/>
  <c r="J96" s="1"/>
  <c r="A96"/>
  <c r="M96" s="1"/>
  <c r="N96" s="1"/>
  <c r="B95"/>
  <c r="I95" s="1"/>
  <c r="J95"/>
  <c r="A95"/>
  <c r="M95"/>
  <c r="N95" s="1"/>
  <c r="B94"/>
  <c r="I94" s="1"/>
  <c r="J94"/>
  <c r="A94"/>
  <c r="M94"/>
  <c r="N94" s="1"/>
  <c r="P94" s="1"/>
  <c r="B93"/>
  <c r="I93"/>
  <c r="J93" s="1"/>
  <c r="A93"/>
  <c r="M93" s="1"/>
  <c r="N93" s="1"/>
  <c r="B92"/>
  <c r="I92"/>
  <c r="J92" s="1"/>
  <c r="A92"/>
  <c r="M92" s="1"/>
  <c r="N92" s="1"/>
  <c r="B91"/>
  <c r="I91" s="1"/>
  <c r="J91" s="1"/>
  <c r="A91"/>
  <c r="M91"/>
  <c r="N91" s="1"/>
  <c r="B90"/>
  <c r="I90" s="1"/>
  <c r="J90" s="1"/>
  <c r="A90"/>
  <c r="M90"/>
  <c r="N90" s="1"/>
  <c r="P90" s="1"/>
  <c r="B89"/>
  <c r="I89"/>
  <c r="J89" s="1"/>
  <c r="A89"/>
  <c r="M89" s="1"/>
  <c r="N89" s="1"/>
  <c r="B88"/>
  <c r="I88"/>
  <c r="J88" s="1"/>
  <c r="A88"/>
  <c r="M88" s="1"/>
  <c r="N88" s="1"/>
  <c r="B87"/>
  <c r="I87" s="1"/>
  <c r="J87"/>
  <c r="A87"/>
  <c r="M87"/>
  <c r="N87" s="1"/>
  <c r="B86"/>
  <c r="I86" s="1"/>
  <c r="J86"/>
  <c r="A86"/>
  <c r="M86"/>
  <c r="N86" s="1"/>
  <c r="P86" s="1"/>
  <c r="B85"/>
  <c r="I85"/>
  <c r="J85" s="1"/>
  <c r="A85"/>
  <c r="M85" s="1"/>
  <c r="N85" s="1"/>
  <c r="B84"/>
  <c r="I84"/>
  <c r="J84" s="1"/>
  <c r="A84"/>
  <c r="M84" s="1"/>
  <c r="N84" s="1"/>
  <c r="B83"/>
  <c r="I83" s="1"/>
  <c r="J83" s="1"/>
  <c r="A83"/>
  <c r="M83"/>
  <c r="N83" s="1"/>
  <c r="B82"/>
  <c r="I82" s="1"/>
  <c r="J82" s="1"/>
  <c r="A82"/>
  <c r="M82"/>
  <c r="N82" s="1"/>
  <c r="P82" s="1"/>
  <c r="B81"/>
  <c r="I81"/>
  <c r="J81" s="1"/>
  <c r="A81"/>
  <c r="M81" s="1"/>
  <c r="N81" s="1"/>
  <c r="B80"/>
  <c r="I80"/>
  <c r="J80" s="1"/>
  <c r="A80"/>
  <c r="M80" s="1"/>
  <c r="N80" s="1"/>
  <c r="B79"/>
  <c r="I79" s="1"/>
  <c r="J79"/>
  <c r="A79"/>
  <c r="M79"/>
  <c r="N79" s="1"/>
  <c r="B78"/>
  <c r="I78" s="1"/>
  <c r="J78"/>
  <c r="A78"/>
  <c r="M78"/>
  <c r="N78" s="1"/>
  <c r="P78" s="1"/>
  <c r="B77"/>
  <c r="I77"/>
  <c r="J77" s="1"/>
  <c r="A77"/>
  <c r="M77" s="1"/>
  <c r="N77" s="1"/>
  <c r="O77" s="1"/>
  <c r="B76"/>
  <c r="I76"/>
  <c r="J76" s="1"/>
  <c r="A76"/>
  <c r="M76" s="1"/>
  <c r="N76" s="1"/>
  <c r="B75"/>
  <c r="I75" s="1"/>
  <c r="J75" s="1"/>
  <c r="A75"/>
  <c r="M75"/>
  <c r="N75" s="1"/>
  <c r="O75" s="1"/>
  <c r="B74"/>
  <c r="I74" s="1"/>
  <c r="J74" s="1"/>
  <c r="A74"/>
  <c r="M74"/>
  <c r="N74" s="1"/>
  <c r="P74" s="1"/>
  <c r="B73"/>
  <c r="I73"/>
  <c r="J73" s="1"/>
  <c r="A73"/>
  <c r="M73" s="1"/>
  <c r="N73" s="1"/>
  <c r="B72"/>
  <c r="I72"/>
  <c r="J72" s="1"/>
  <c r="A72"/>
  <c r="M72" s="1"/>
  <c r="N72" s="1"/>
  <c r="B71"/>
  <c r="I71" s="1"/>
  <c r="J71"/>
  <c r="A71"/>
  <c r="M71"/>
  <c r="N71" s="1"/>
  <c r="B70"/>
  <c r="I70" s="1"/>
  <c r="J70"/>
  <c r="A70"/>
  <c r="M70"/>
  <c r="N70" s="1"/>
  <c r="P70" s="1"/>
  <c r="B69"/>
  <c r="I69"/>
  <c r="J69" s="1"/>
  <c r="A69"/>
  <c r="M69" s="1"/>
  <c r="N69" s="1"/>
  <c r="O69" s="1"/>
  <c r="B68"/>
  <c r="I68"/>
  <c r="J68" s="1"/>
  <c r="A68"/>
  <c r="M68" s="1"/>
  <c r="N68" s="1"/>
  <c r="B67"/>
  <c r="I67" s="1"/>
  <c r="J67" s="1"/>
  <c r="A67"/>
  <c r="M67"/>
  <c r="N67" s="1"/>
  <c r="O67" s="1"/>
  <c r="B66"/>
  <c r="I66" s="1"/>
  <c r="J66" s="1"/>
  <c r="A66"/>
  <c r="M66"/>
  <c r="N66" s="1"/>
  <c r="P66" s="1"/>
  <c r="B65"/>
  <c r="I65"/>
  <c r="J65" s="1"/>
  <c r="A65"/>
  <c r="M65" s="1"/>
  <c r="N65" s="1"/>
  <c r="B64"/>
  <c r="I64"/>
  <c r="J64" s="1"/>
  <c r="A64"/>
  <c r="M64" s="1"/>
  <c r="N64" s="1"/>
  <c r="B63"/>
  <c r="I63" s="1"/>
  <c r="J63"/>
  <c r="A63"/>
  <c r="M63"/>
  <c r="N63" s="1"/>
  <c r="B62"/>
  <c r="I62" s="1"/>
  <c r="J62"/>
  <c r="A62"/>
  <c r="M62"/>
  <c r="N62" s="1"/>
  <c r="P62" s="1"/>
  <c r="B61"/>
  <c r="I61"/>
  <c r="J61" s="1"/>
  <c r="A61"/>
  <c r="M61" s="1"/>
  <c r="N61" s="1"/>
  <c r="O61" s="1"/>
  <c r="B60"/>
  <c r="I60"/>
  <c r="J60" s="1"/>
  <c r="A60"/>
  <c r="M60" s="1"/>
  <c r="N60" s="1"/>
  <c r="B59"/>
  <c r="I59" s="1"/>
  <c r="J59" s="1"/>
  <c r="A59"/>
  <c r="M59"/>
  <c r="N59" s="1"/>
  <c r="O59" s="1"/>
  <c r="B58"/>
  <c r="I58" s="1"/>
  <c r="J58" s="1"/>
  <c r="A58"/>
  <c r="M58"/>
  <c r="N58" s="1"/>
  <c r="P58" s="1"/>
  <c r="B57"/>
  <c r="I57"/>
  <c r="J57" s="1"/>
  <c r="A57"/>
  <c r="M57" s="1"/>
  <c r="N57" s="1"/>
  <c r="B56"/>
  <c r="I56"/>
  <c r="J56" s="1"/>
  <c r="A56"/>
  <c r="M56" s="1"/>
  <c r="N56" s="1"/>
  <c r="B55"/>
  <c r="I55"/>
  <c r="J55" s="1"/>
  <c r="A55"/>
  <c r="M55" s="1"/>
  <c r="N55" s="1"/>
  <c r="O55" s="1"/>
  <c r="B54"/>
  <c r="I54"/>
  <c r="J54" s="1"/>
  <c r="A54"/>
  <c r="M54" s="1"/>
  <c r="N54" s="1"/>
  <c r="P54" s="1"/>
  <c r="B53"/>
  <c r="I53" s="1"/>
  <c r="J53" s="1"/>
  <c r="A53"/>
  <c r="M53"/>
  <c r="N53" s="1"/>
  <c r="B52"/>
  <c r="I52"/>
  <c r="J52" s="1"/>
  <c r="A52"/>
  <c r="M52" s="1"/>
  <c r="N52" s="1"/>
  <c r="P52" s="1"/>
  <c r="B51"/>
  <c r="I51" s="1"/>
  <c r="J51" s="1"/>
  <c r="A51"/>
  <c r="M51"/>
  <c r="N51" s="1"/>
  <c r="B50"/>
  <c r="I50"/>
  <c r="J50" s="1"/>
  <c r="A50"/>
  <c r="M50" s="1"/>
  <c r="N50" s="1"/>
  <c r="P50" s="1"/>
  <c r="B49"/>
  <c r="I49" s="1"/>
  <c r="J49" s="1"/>
  <c r="A49"/>
  <c r="M49"/>
  <c r="N49" s="1"/>
  <c r="B48"/>
  <c r="I48"/>
  <c r="J48" s="1"/>
  <c r="A48"/>
  <c r="M48" s="1"/>
  <c r="N48" s="1"/>
  <c r="P48" s="1"/>
  <c r="B47"/>
  <c r="I47" s="1"/>
  <c r="J47" s="1"/>
  <c r="A47"/>
  <c r="M47"/>
  <c r="N47" s="1"/>
  <c r="B46"/>
  <c r="I46"/>
  <c r="J46" s="1"/>
  <c r="A46"/>
  <c r="M46" s="1"/>
  <c r="N46" s="1"/>
  <c r="P46" s="1"/>
  <c r="B45"/>
  <c r="I45" s="1"/>
  <c r="J45" s="1"/>
  <c r="A45"/>
  <c r="M45"/>
  <c r="N45" s="1"/>
  <c r="B44"/>
  <c r="I44"/>
  <c r="J44" s="1"/>
  <c r="A44"/>
  <c r="M44" s="1"/>
  <c r="N44" s="1"/>
  <c r="P44" s="1"/>
  <c r="B43"/>
  <c r="I43" s="1"/>
  <c r="J43" s="1"/>
  <c r="A43"/>
  <c r="M43"/>
  <c r="N43" s="1"/>
  <c r="B42"/>
  <c r="I42"/>
  <c r="J42" s="1"/>
  <c r="A42"/>
  <c r="M42" s="1"/>
  <c r="N42" s="1"/>
  <c r="P42" s="1"/>
  <c r="B41"/>
  <c r="I41" s="1"/>
  <c r="J41" s="1"/>
  <c r="A41"/>
  <c r="M41"/>
  <c r="N41" s="1"/>
  <c r="B40"/>
  <c r="I40"/>
  <c r="J40" s="1"/>
  <c r="A40"/>
  <c r="M40" s="1"/>
  <c r="N40" s="1"/>
  <c r="P40" s="1"/>
  <c r="B39"/>
  <c r="I39" s="1"/>
  <c r="J39" s="1"/>
  <c r="A39"/>
  <c r="M39"/>
  <c r="N39" s="1"/>
  <c r="B38"/>
  <c r="I38"/>
  <c r="J38" s="1"/>
  <c r="A38"/>
  <c r="M38" s="1"/>
  <c r="N38" s="1"/>
  <c r="P38" s="1"/>
  <c r="B37"/>
  <c r="I37" s="1"/>
  <c r="J37" s="1"/>
  <c r="A37"/>
  <c r="M37"/>
  <c r="N37" s="1"/>
  <c r="B36"/>
  <c r="I36"/>
  <c r="J36" s="1"/>
  <c r="A36"/>
  <c r="M36" s="1"/>
  <c r="N36" s="1"/>
  <c r="P36" s="1"/>
  <c r="B35"/>
  <c r="I35" s="1"/>
  <c r="J35" s="1"/>
  <c r="A35"/>
  <c r="M35"/>
  <c r="N35" s="1"/>
  <c r="B34"/>
  <c r="I34"/>
  <c r="J34" s="1"/>
  <c r="A34"/>
  <c r="M34" s="1"/>
  <c r="N34" s="1"/>
  <c r="P34" s="1"/>
  <c r="B33"/>
  <c r="I33" s="1"/>
  <c r="J33" s="1"/>
  <c r="A33"/>
  <c r="M33"/>
  <c r="N33" s="1"/>
  <c r="B32"/>
  <c r="I32"/>
  <c r="J32" s="1"/>
  <c r="A32"/>
  <c r="M32" s="1"/>
  <c r="N32" s="1"/>
  <c r="P32" s="1"/>
  <c r="B31"/>
  <c r="I31" s="1"/>
  <c r="J31" s="1"/>
  <c r="A31"/>
  <c r="M31"/>
  <c r="N31" s="1"/>
  <c r="B30"/>
  <c r="I30"/>
  <c r="J30" s="1"/>
  <c r="A30"/>
  <c r="M30" s="1"/>
  <c r="N30" s="1"/>
  <c r="P30" s="1"/>
  <c r="B29"/>
  <c r="I29" s="1"/>
  <c r="J29" s="1"/>
  <c r="A29"/>
  <c r="M29"/>
  <c r="N29" s="1"/>
  <c r="B28"/>
  <c r="I28"/>
  <c r="J28" s="1"/>
  <c r="A28"/>
  <c r="M28" s="1"/>
  <c r="N28" s="1"/>
  <c r="P28" s="1"/>
  <c r="B27"/>
  <c r="I27" s="1"/>
  <c r="J27" s="1"/>
  <c r="A27"/>
  <c r="M27"/>
  <c r="N27" s="1"/>
  <c r="B26"/>
  <c r="I26"/>
  <c r="J26" s="1"/>
  <c r="A26"/>
  <c r="M26" s="1"/>
  <c r="N26" s="1"/>
  <c r="P26" s="1"/>
  <c r="B25"/>
  <c r="I25" s="1"/>
  <c r="J25" s="1"/>
  <c r="A25"/>
  <c r="M25"/>
  <c r="N25" s="1"/>
  <c r="B24"/>
  <c r="I24"/>
  <c r="J24" s="1"/>
  <c r="A24"/>
  <c r="M24" s="1"/>
  <c r="N24" s="1"/>
  <c r="P24" s="1"/>
  <c r="B23"/>
  <c r="I23" s="1"/>
  <c r="J23" s="1"/>
  <c r="A23"/>
  <c r="M23"/>
  <c r="N23" s="1"/>
  <c r="B22"/>
  <c r="I22"/>
  <c r="J22" s="1"/>
  <c r="A22"/>
  <c r="M22" s="1"/>
  <c r="N22" s="1"/>
  <c r="P22" s="1"/>
  <c r="B21"/>
  <c r="I21" s="1"/>
  <c r="J21" s="1"/>
  <c r="A21"/>
  <c r="M21"/>
  <c r="N21" s="1"/>
  <c r="B20"/>
  <c r="I20"/>
  <c r="J20" s="1"/>
  <c r="A20"/>
  <c r="M20" s="1"/>
  <c r="N20" s="1"/>
  <c r="P20" s="1"/>
  <c r="B19"/>
  <c r="I19" s="1"/>
  <c r="J19" s="1"/>
  <c r="A19"/>
  <c r="M19"/>
  <c r="N19" s="1"/>
  <c r="B18"/>
  <c r="I18"/>
  <c r="J18" s="1"/>
  <c r="A18"/>
  <c r="M18" s="1"/>
  <c r="N18" s="1"/>
  <c r="P18" s="1"/>
  <c r="B17"/>
  <c r="I17" s="1"/>
  <c r="J17" s="1"/>
  <c r="A17"/>
  <c r="M17"/>
  <c r="N17" s="1"/>
  <c r="B16"/>
  <c r="I16"/>
  <c r="J16" s="1"/>
  <c r="A16"/>
  <c r="M16" s="1"/>
  <c r="N16" s="1"/>
  <c r="P16" s="1"/>
  <c r="B15"/>
  <c r="I15" s="1"/>
  <c r="J15" s="1"/>
  <c r="A15"/>
  <c r="M15"/>
  <c r="N15" s="1"/>
  <c r="B14"/>
  <c r="I14"/>
  <c r="J14" s="1"/>
  <c r="A14"/>
  <c r="M14" s="1"/>
  <c r="N14" s="1"/>
  <c r="P14" s="1"/>
  <c r="B13"/>
  <c r="I13" s="1"/>
  <c r="J13" s="1"/>
  <c r="A13"/>
  <c r="M13"/>
  <c r="N13" s="1"/>
  <c r="B12"/>
  <c r="I12"/>
  <c r="J12" s="1"/>
  <c r="A12"/>
  <c r="M12" s="1"/>
  <c r="N12" s="1"/>
  <c r="P12" s="1"/>
  <c r="B11"/>
  <c r="I11" s="1"/>
  <c r="J11" s="1"/>
  <c r="A11"/>
  <c r="M11"/>
  <c r="N11" s="1"/>
  <c r="B10"/>
  <c r="I10"/>
  <c r="J10" s="1"/>
  <c r="A10"/>
  <c r="M10" s="1"/>
  <c r="N10" s="1"/>
  <c r="P10" s="1"/>
  <c r="B9"/>
  <c r="I9" s="1"/>
  <c r="J9" s="1"/>
  <c r="A9"/>
  <c r="M9"/>
  <c r="N9" s="1"/>
  <c r="B8"/>
  <c r="I8"/>
  <c r="J8" s="1"/>
  <c r="A8"/>
  <c r="M8" s="1"/>
  <c r="N8" s="1"/>
  <c r="P8" s="1"/>
  <c r="B7"/>
  <c r="I7" s="1"/>
  <c r="J7" s="1"/>
  <c r="A7"/>
  <c r="M7"/>
  <c r="N7" s="1"/>
  <c r="B6"/>
  <c r="I6"/>
  <c r="J6" s="1"/>
  <c r="A6"/>
  <c r="M6" s="1"/>
  <c r="N6" s="1"/>
  <c r="P6" s="1"/>
  <c r="B5"/>
  <c r="I5" s="1"/>
  <c r="J5" s="1"/>
  <c r="A5"/>
  <c r="M5"/>
  <c r="N5" s="1"/>
  <c r="B4"/>
  <c r="I4"/>
  <c r="J4" s="1"/>
  <c r="A4"/>
  <c r="M4" s="1"/>
  <c r="N4" s="1"/>
  <c r="P4" s="1"/>
  <c r="B3"/>
  <c r="I3" s="1"/>
  <c r="J3" s="1"/>
  <c r="A3"/>
  <c r="M3"/>
  <c r="N3" s="1"/>
  <c r="K168"/>
  <c r="K167"/>
  <c r="K166"/>
  <c r="K165"/>
  <c r="K164"/>
  <c r="K163"/>
  <c r="K162"/>
  <c r="K161"/>
  <c r="K160"/>
  <c r="K159"/>
  <c r="K158"/>
  <c r="K157"/>
  <c r="K156"/>
  <c r="K155"/>
  <c r="K154"/>
  <c r="K153"/>
  <c r="K152"/>
  <c r="K151"/>
  <c r="K150"/>
  <c r="K149"/>
  <c r="K148"/>
  <c r="K147"/>
  <c r="K146"/>
  <c r="K145"/>
  <c r="K144"/>
  <c r="K143"/>
  <c r="K142"/>
  <c r="K141"/>
  <c r="K140"/>
  <c r="K139"/>
  <c r="K138"/>
  <c r="K137"/>
  <c r="K136"/>
  <c r="K135"/>
  <c r="K134"/>
  <c r="K133"/>
  <c r="K132"/>
  <c r="K131"/>
  <c r="K130"/>
  <c r="K129"/>
  <c r="K128"/>
  <c r="K127"/>
  <c r="K126"/>
  <c r="K125"/>
  <c r="K124"/>
  <c r="K123"/>
  <c r="K122"/>
  <c r="K121"/>
  <c r="K120"/>
  <c r="K119"/>
  <c r="K118"/>
  <c r="K117"/>
  <c r="K116"/>
  <c r="K115"/>
  <c r="K114"/>
  <c r="K113"/>
  <c r="K112"/>
  <c r="K111"/>
  <c r="K110"/>
  <c r="K109"/>
  <c r="K108"/>
  <c r="K107"/>
  <c r="K106"/>
  <c r="K105"/>
  <c r="K104"/>
  <c r="K10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L77" s="1"/>
  <c r="K76"/>
  <c r="K75"/>
  <c r="L75" s="1"/>
  <c r="K74"/>
  <c r="K73"/>
  <c r="L73" s="1"/>
  <c r="K72"/>
  <c r="K71"/>
  <c r="L71" s="1"/>
  <c r="K70"/>
  <c r="K69"/>
  <c r="L69" s="1"/>
  <c r="K68"/>
  <c r="K67"/>
  <c r="L67" s="1"/>
  <c r="K66"/>
  <c r="K65"/>
  <c r="L65" s="1"/>
  <c r="K64"/>
  <c r="K63"/>
  <c r="L63" s="1"/>
  <c r="K62"/>
  <c r="K61"/>
  <c r="L61" s="1"/>
  <c r="K60"/>
  <c r="K59"/>
  <c r="L59" s="1"/>
  <c r="K58"/>
  <c r="K57"/>
  <c r="L57" s="1"/>
  <c r="K56"/>
  <c r="K55"/>
  <c r="L55" s="1"/>
  <c r="K54"/>
  <c r="K53"/>
  <c r="L53" s="1"/>
  <c r="K52"/>
  <c r="K51"/>
  <c r="L51" s="1"/>
  <c r="K50"/>
  <c r="K49"/>
  <c r="L49" s="1"/>
  <c r="K48"/>
  <c r="K47"/>
  <c r="L47" s="1"/>
  <c r="K46"/>
  <c r="K45"/>
  <c r="L45" s="1"/>
  <c r="K44"/>
  <c r="K43"/>
  <c r="L43" s="1"/>
  <c r="K42"/>
  <c r="K41"/>
  <c r="L41" s="1"/>
  <c r="K40"/>
  <c r="K39"/>
  <c r="L39" s="1"/>
  <c r="K38"/>
  <c r="K37"/>
  <c r="L37" s="1"/>
  <c r="K36"/>
  <c r="K35"/>
  <c r="L35" s="1"/>
  <c r="K34"/>
  <c r="K33"/>
  <c r="L33" s="1"/>
  <c r="K32"/>
  <c r="K31"/>
  <c r="L31" s="1"/>
  <c r="K30"/>
  <c r="K29"/>
  <c r="L29" s="1"/>
  <c r="K28"/>
  <c r="K27"/>
  <c r="L27" s="1"/>
  <c r="K26"/>
  <c r="K25"/>
  <c r="L25" s="1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3"/>
  <c r="B7" i="18"/>
  <c r="F11" s="1"/>
  <c r="E11"/>
  <c r="D12"/>
  <c r="B12"/>
  <c r="B11"/>
  <c r="C10"/>
  <c r="O168" i="5"/>
  <c r="O167"/>
  <c r="O166"/>
  <c r="O164"/>
  <c r="O163"/>
  <c r="O162"/>
  <c r="O160"/>
  <c r="O159"/>
  <c r="O158"/>
  <c r="O156"/>
  <c r="O155"/>
  <c r="O154"/>
  <c r="O152"/>
  <c r="O151"/>
  <c r="O150"/>
  <c r="O147"/>
  <c r="O144"/>
  <c r="O142"/>
  <c r="O138"/>
  <c r="O134"/>
  <c r="O130"/>
  <c r="O126"/>
  <c r="O122"/>
  <c r="O118"/>
  <c r="O114"/>
  <c r="O110"/>
  <c r="O106"/>
  <c r="O102"/>
  <c r="O98"/>
  <c r="O94"/>
  <c r="O90"/>
  <c r="O86"/>
  <c r="O82"/>
  <c r="O78"/>
  <c r="O74"/>
  <c r="O70"/>
  <c r="O66"/>
  <c r="O62"/>
  <c r="O58"/>
  <c r="O54"/>
  <c r="O52"/>
  <c r="O50"/>
  <c r="O48"/>
  <c r="O46"/>
  <c r="O44"/>
  <c r="O42"/>
  <c r="O40"/>
  <c r="O38"/>
  <c r="O36"/>
  <c r="O34"/>
  <c r="O32"/>
  <c r="O30"/>
  <c r="O28"/>
  <c r="O26"/>
  <c r="O24"/>
  <c r="O22"/>
  <c r="O20"/>
  <c r="O18"/>
  <c r="O16"/>
  <c r="O14"/>
  <c r="O12"/>
  <c r="O10"/>
  <c r="O8"/>
  <c r="O6"/>
  <c r="O4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6"/>
  <c r="L74"/>
  <c r="L72"/>
  <c r="L70"/>
  <c r="L68"/>
  <c r="L66"/>
  <c r="L64"/>
  <c r="L62"/>
  <c r="L60"/>
  <c r="L58"/>
  <c r="L56"/>
  <c r="L54"/>
  <c r="L52"/>
  <c r="L50"/>
  <c r="L48"/>
  <c r="L46"/>
  <c r="L44"/>
  <c r="L42"/>
  <c r="L40"/>
  <c r="L38"/>
  <c r="L36"/>
  <c r="L34"/>
  <c r="L32"/>
  <c r="L30"/>
  <c r="L28"/>
  <c r="L26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G168"/>
  <c r="H168"/>
  <c r="G167"/>
  <c r="H167"/>
  <c r="G166"/>
  <c r="H166"/>
  <c r="G165"/>
  <c r="H165"/>
  <c r="G164"/>
  <c r="H164"/>
  <c r="G163"/>
  <c r="H163"/>
  <c r="G162"/>
  <c r="H162"/>
  <c r="G161"/>
  <c r="H161"/>
  <c r="G160"/>
  <c r="H160"/>
  <c r="G159"/>
  <c r="H159"/>
  <c r="G158"/>
  <c r="H158"/>
  <c r="G157"/>
  <c r="H157"/>
  <c r="G156"/>
  <c r="H156"/>
  <c r="G155"/>
  <c r="H155"/>
  <c r="G154"/>
  <c r="H154"/>
  <c r="G153"/>
  <c r="H153"/>
  <c r="G152"/>
  <c r="H152"/>
  <c r="G151"/>
  <c r="H151"/>
  <c r="G150"/>
  <c r="H150"/>
  <c r="G149"/>
  <c r="H149"/>
  <c r="G148"/>
  <c r="H148"/>
  <c r="G147"/>
  <c r="H147"/>
  <c r="G146"/>
  <c r="H146"/>
  <c r="G145"/>
  <c r="H145"/>
  <c r="G144"/>
  <c r="H144"/>
  <c r="G143"/>
  <c r="H143"/>
  <c r="G142"/>
  <c r="H142"/>
  <c r="G141"/>
  <c r="H141"/>
  <c r="G140"/>
  <c r="H140"/>
  <c r="G139"/>
  <c r="H139"/>
  <c r="G138"/>
  <c r="H138"/>
  <c r="G137"/>
  <c r="H137"/>
  <c r="G136"/>
  <c r="H136"/>
  <c r="G135"/>
  <c r="H135"/>
  <c r="G134"/>
  <c r="H134" s="1"/>
  <c r="G133"/>
  <c r="H133" s="1"/>
  <c r="G132"/>
  <c r="H132" s="1"/>
  <c r="G131"/>
  <c r="H131" s="1"/>
  <c r="G130"/>
  <c r="H130" s="1"/>
  <c r="G129"/>
  <c r="H129" s="1"/>
  <c r="G128"/>
  <c r="H128" s="1"/>
  <c r="G127"/>
  <c r="H127" s="1"/>
  <c r="G126"/>
  <c r="H126" s="1"/>
  <c r="G125"/>
  <c r="H125" s="1"/>
  <c r="G124"/>
  <c r="H124" s="1"/>
  <c r="G123"/>
  <c r="H123" s="1"/>
  <c r="G122"/>
  <c r="H122" s="1"/>
  <c r="G121"/>
  <c r="H121" s="1"/>
  <c r="G120"/>
  <c r="H120" s="1"/>
  <c r="G119"/>
  <c r="H119" s="1"/>
  <c r="G118"/>
  <c r="H118" s="1"/>
  <c r="G117"/>
  <c r="H117" s="1"/>
  <c r="G116"/>
  <c r="H116" s="1"/>
  <c r="G115"/>
  <c r="H115" s="1"/>
  <c r="G114"/>
  <c r="H114" s="1"/>
  <c r="G113"/>
  <c r="H113" s="1"/>
  <c r="G112"/>
  <c r="H112" s="1"/>
  <c r="G111"/>
  <c r="H111" s="1"/>
  <c r="G110"/>
  <c r="H110" s="1"/>
  <c r="G109"/>
  <c r="H109" s="1"/>
  <c r="G108"/>
  <c r="H108" s="1"/>
  <c r="G107"/>
  <c r="H107" s="1"/>
  <c r="G106"/>
  <c r="H106" s="1"/>
  <c r="G105"/>
  <c r="H105" s="1"/>
  <c r="G104"/>
  <c r="H104" s="1"/>
  <c r="G103"/>
  <c r="H103" s="1"/>
  <c r="G102"/>
  <c r="H102" s="1"/>
  <c r="G101"/>
  <c r="H101" s="1"/>
  <c r="G100"/>
  <c r="H100" s="1"/>
  <c r="G99"/>
  <c r="H99" s="1"/>
  <c r="G98"/>
  <c r="H98" s="1"/>
  <c r="G97"/>
  <c r="H97" s="1"/>
  <c r="G96"/>
  <c r="H96" s="1"/>
  <c r="G95"/>
  <c r="H95" s="1"/>
  <c r="G94"/>
  <c r="H94" s="1"/>
  <c r="G93"/>
  <c r="H93" s="1"/>
  <c r="G92"/>
  <c r="H92" s="1"/>
  <c r="G91"/>
  <c r="H91" s="1"/>
  <c r="G90"/>
  <c r="H90" s="1"/>
  <c r="G89"/>
  <c r="H89" s="1"/>
  <c r="G88"/>
  <c r="H88" s="1"/>
  <c r="G87"/>
  <c r="H87" s="1"/>
  <c r="G86"/>
  <c r="H86" s="1"/>
  <c r="G85"/>
  <c r="H85" s="1"/>
  <c r="G84"/>
  <c r="H84" s="1"/>
  <c r="G83"/>
  <c r="H83" s="1"/>
  <c r="G82"/>
  <c r="H82" s="1"/>
  <c r="G81"/>
  <c r="H81" s="1"/>
  <c r="G80"/>
  <c r="H80" s="1"/>
  <c r="G79"/>
  <c r="H79" s="1"/>
  <c r="G78"/>
  <c r="H78" s="1"/>
  <c r="G77"/>
  <c r="H77" s="1"/>
  <c r="G76"/>
  <c r="H76" s="1"/>
  <c r="G75"/>
  <c r="H75" s="1"/>
  <c r="G74"/>
  <c r="H74" s="1"/>
  <c r="G73"/>
  <c r="H73" s="1"/>
  <c r="G72"/>
  <c r="H72" s="1"/>
  <c r="G71"/>
  <c r="H71" s="1"/>
  <c r="G70"/>
  <c r="H70" s="1"/>
  <c r="G69"/>
  <c r="H69" s="1"/>
  <c r="G68"/>
  <c r="H68" s="1"/>
  <c r="G67"/>
  <c r="H67" s="1"/>
  <c r="G66"/>
  <c r="H66" s="1"/>
  <c r="G65"/>
  <c r="H65" s="1"/>
  <c r="G64"/>
  <c r="H64" s="1"/>
  <c r="G63"/>
  <c r="H63" s="1"/>
  <c r="G62"/>
  <c r="H62" s="1"/>
  <c r="G61"/>
  <c r="H61" s="1"/>
  <c r="G60"/>
  <c r="H60" s="1"/>
  <c r="G59"/>
  <c r="H59" s="1"/>
  <c r="G58"/>
  <c r="H58" s="1"/>
  <c r="G57"/>
  <c r="H57" s="1"/>
  <c r="G56"/>
  <c r="H56" s="1"/>
  <c r="G55"/>
  <c r="H55" s="1"/>
  <c r="G54"/>
  <c r="H54" s="1"/>
  <c r="G53"/>
  <c r="H53" s="1"/>
  <c r="G52"/>
  <c r="H52" s="1"/>
  <c r="G51"/>
  <c r="H51" s="1"/>
  <c r="G50"/>
  <c r="H50" s="1"/>
  <c r="G49"/>
  <c r="H49" s="1"/>
  <c r="G48"/>
  <c r="H48" s="1"/>
  <c r="G47"/>
  <c r="H47" s="1"/>
  <c r="G46"/>
  <c r="H46" s="1"/>
  <c r="G45"/>
  <c r="H45" s="1"/>
  <c r="G44"/>
  <c r="H44" s="1"/>
  <c r="G43"/>
  <c r="H43" s="1"/>
  <c r="G42"/>
  <c r="H42" s="1"/>
  <c r="G41"/>
  <c r="H41" s="1"/>
  <c r="G40"/>
  <c r="H40" s="1"/>
  <c r="G39"/>
  <c r="H39" s="1"/>
  <c r="G38"/>
  <c r="H38" s="1"/>
  <c r="G37"/>
  <c r="H37" s="1"/>
  <c r="G36"/>
  <c r="H36" s="1"/>
  <c r="G35"/>
  <c r="H35" s="1"/>
  <c r="G34"/>
  <c r="H34" s="1"/>
  <c r="G33"/>
  <c r="H33" s="1"/>
  <c r="G32"/>
  <c r="H32" s="1"/>
  <c r="G31"/>
  <c r="H31" s="1"/>
  <c r="G30"/>
  <c r="H30" s="1"/>
  <c r="G29"/>
  <c r="H29" s="1"/>
  <c r="G28"/>
  <c r="H28" s="1"/>
  <c r="G27"/>
  <c r="H27" s="1"/>
  <c r="G26"/>
  <c r="H26" s="1"/>
  <c r="G25"/>
  <c r="H25" s="1"/>
  <c r="G24"/>
  <c r="H24" s="1"/>
  <c r="G23"/>
  <c r="H23" s="1"/>
  <c r="G22"/>
  <c r="H22" s="1"/>
  <c r="G21"/>
  <c r="H21" s="1"/>
  <c r="G20"/>
  <c r="H20" s="1"/>
  <c r="G19"/>
  <c r="H19" s="1"/>
  <c r="G18"/>
  <c r="H18" s="1"/>
  <c r="G17"/>
  <c r="H17" s="1"/>
  <c r="G16"/>
  <c r="H16" s="1"/>
  <c r="G15"/>
  <c r="H15" s="1"/>
  <c r="G14"/>
  <c r="H14" s="1"/>
  <c r="G13"/>
  <c r="H13" s="1"/>
  <c r="G12"/>
  <c r="H12" s="1"/>
  <c r="G11"/>
  <c r="H11" s="1"/>
  <c r="G10"/>
  <c r="H10" s="1"/>
  <c r="G9"/>
  <c r="H9" s="1"/>
  <c r="G8"/>
  <c r="H8" s="1"/>
  <c r="G7"/>
  <c r="H7" s="1"/>
  <c r="G6"/>
  <c r="H6" s="1"/>
  <c r="G5"/>
  <c r="H5" s="1"/>
  <c r="G4"/>
  <c r="H4" s="1"/>
  <c r="G3"/>
  <c r="H3" s="1"/>
  <c r="E16" i="8"/>
  <c r="E15"/>
  <c r="E14"/>
  <c r="E13"/>
  <c r="E12"/>
  <c r="E11"/>
  <c r="E10"/>
  <c r="E9"/>
  <c r="E8"/>
  <c r="E7"/>
  <c r="E6"/>
  <c r="E5"/>
  <c r="E4"/>
  <c r="E3"/>
  <c r="E2"/>
  <c r="D33" i="19"/>
  <c r="D31"/>
  <c r="D29"/>
  <c r="D27"/>
  <c r="D23"/>
  <c r="D21"/>
  <c r="D19"/>
  <c r="D17"/>
  <c r="D15"/>
  <c r="D13"/>
  <c r="D11"/>
  <c r="D9"/>
  <c r="D7"/>
  <c r="D5"/>
  <c r="Q28" i="16"/>
  <c r="P28"/>
  <c r="Q26"/>
  <c r="P26"/>
  <c r="Q24"/>
  <c r="P24"/>
  <c r="Q20"/>
  <c r="P20"/>
  <c r="Q19"/>
  <c r="P19"/>
  <c r="Q17"/>
  <c r="P17"/>
  <c r="Q16"/>
  <c r="P16"/>
  <c r="Q15"/>
  <c r="P15"/>
  <c r="Q13"/>
  <c r="P13"/>
  <c r="Q12"/>
  <c r="P12"/>
  <c r="Q11"/>
  <c r="P11"/>
  <c r="Q10"/>
  <c r="P10"/>
  <c r="Q9"/>
  <c r="P9"/>
  <c r="Q8"/>
  <c r="P8"/>
  <c r="Q7"/>
  <c r="P7"/>
  <c r="O28"/>
  <c r="O26"/>
  <c r="O24"/>
  <c r="O20"/>
  <c r="O19"/>
  <c r="O17"/>
  <c r="O16"/>
  <c r="O15"/>
  <c r="O13"/>
  <c r="O12"/>
  <c r="O11"/>
  <c r="O10"/>
  <c r="O9"/>
  <c r="O8"/>
  <c r="O7"/>
  <c r="E28"/>
  <c r="E26"/>
  <c r="E24"/>
  <c r="E20"/>
  <c r="E19"/>
  <c r="E17"/>
  <c r="E16"/>
  <c r="E15"/>
  <c r="E13"/>
  <c r="E12"/>
  <c r="E11"/>
  <c r="E10"/>
  <c r="E9"/>
  <c r="E8"/>
  <c r="E7"/>
  <c r="M28"/>
  <c r="L28"/>
  <c r="K28"/>
  <c r="J28"/>
  <c r="I28"/>
  <c r="H28"/>
  <c r="G28"/>
  <c r="M26"/>
  <c r="L26"/>
  <c r="K26"/>
  <c r="J26"/>
  <c r="I26"/>
  <c r="H26"/>
  <c r="G26"/>
  <c r="M24"/>
  <c r="L24"/>
  <c r="K24"/>
  <c r="J24"/>
  <c r="I24"/>
  <c r="H24"/>
  <c r="G24"/>
  <c r="M20"/>
  <c r="L20"/>
  <c r="K20"/>
  <c r="J20"/>
  <c r="I20"/>
  <c r="H20"/>
  <c r="G20"/>
  <c r="M19"/>
  <c r="L19"/>
  <c r="K19"/>
  <c r="J19"/>
  <c r="I19"/>
  <c r="H19"/>
  <c r="G19"/>
  <c r="M17"/>
  <c r="L17"/>
  <c r="K17"/>
  <c r="J17"/>
  <c r="I17"/>
  <c r="H17"/>
  <c r="G17"/>
  <c r="M16"/>
  <c r="L16"/>
  <c r="K16"/>
  <c r="J16"/>
  <c r="I16"/>
  <c r="H16"/>
  <c r="G16"/>
  <c r="M15"/>
  <c r="L15"/>
  <c r="K15"/>
  <c r="J15"/>
  <c r="I15"/>
  <c r="H15"/>
  <c r="G15"/>
  <c r="M13"/>
  <c r="L13"/>
  <c r="K13"/>
  <c r="J13"/>
  <c r="I13"/>
  <c r="H13"/>
  <c r="G13"/>
  <c r="M12"/>
  <c r="L12"/>
  <c r="K12"/>
  <c r="J12"/>
  <c r="I12"/>
  <c r="H12"/>
  <c r="G12"/>
  <c r="M11"/>
  <c r="L11"/>
  <c r="K11"/>
  <c r="J11"/>
  <c r="I11"/>
  <c r="H11"/>
  <c r="G11"/>
  <c r="M10"/>
  <c r="L10"/>
  <c r="K10"/>
  <c r="J10"/>
  <c r="I10"/>
  <c r="H10"/>
  <c r="G10"/>
  <c r="M9"/>
  <c r="L9"/>
  <c r="K9"/>
  <c r="J9"/>
  <c r="I9"/>
  <c r="H9"/>
  <c r="G9"/>
  <c r="M8"/>
  <c r="L8"/>
  <c r="K8"/>
  <c r="J8"/>
  <c r="I8"/>
  <c r="H8"/>
  <c r="G8"/>
  <c r="M7"/>
  <c r="L7"/>
  <c r="K7"/>
  <c r="J7"/>
  <c r="I7"/>
  <c r="H7"/>
  <c r="G7"/>
  <c r="H27" i="4"/>
  <c r="G27"/>
  <c r="F27"/>
  <c r="E27"/>
  <c r="D26" i="16"/>
  <c r="D24"/>
  <c r="D20"/>
  <c r="D19"/>
  <c r="D17"/>
  <c r="D16"/>
  <c r="D15"/>
  <c r="D13"/>
  <c r="D12"/>
  <c r="D11"/>
  <c r="D10"/>
  <c r="D9"/>
  <c r="D8"/>
  <c r="D7"/>
  <c r="H25" i="4"/>
  <c r="G25"/>
  <c r="F25"/>
  <c r="H23"/>
  <c r="G23"/>
  <c r="F23"/>
  <c r="H19"/>
  <c r="G19"/>
  <c r="F19"/>
  <c r="H18"/>
  <c r="G18"/>
  <c r="F18"/>
  <c r="H16"/>
  <c r="G16"/>
  <c r="F16"/>
  <c r="H15"/>
  <c r="G15"/>
  <c r="F15"/>
  <c r="H14"/>
  <c r="G14"/>
  <c r="F14"/>
  <c r="H12"/>
  <c r="G12"/>
  <c r="F12"/>
  <c r="H11"/>
  <c r="G11"/>
  <c r="F11"/>
  <c r="H10"/>
  <c r="G10"/>
  <c r="F10"/>
  <c r="H9"/>
  <c r="G9"/>
  <c r="F9"/>
  <c r="H8"/>
  <c r="G8"/>
  <c r="F8"/>
  <c r="H7"/>
  <c r="G7"/>
  <c r="F7"/>
  <c r="H6"/>
  <c r="G6"/>
  <c r="F6"/>
  <c r="E25"/>
  <c r="E23"/>
  <c r="E19"/>
  <c r="E18"/>
  <c r="E16"/>
  <c r="E15"/>
  <c r="E14"/>
  <c r="E12"/>
  <c r="E11"/>
  <c r="E10"/>
  <c r="E9"/>
  <c r="E8"/>
  <c r="E7"/>
  <c r="E6"/>
  <c r="D25"/>
  <c r="D23"/>
  <c r="D19"/>
  <c r="D18"/>
  <c r="D16"/>
  <c r="D15"/>
  <c r="D14"/>
  <c r="D12"/>
  <c r="D11"/>
  <c r="D10"/>
  <c r="D9"/>
  <c r="D8"/>
  <c r="D7"/>
  <c r="D6"/>
  <c r="F168" i="5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B99" i="11"/>
  <c r="B98"/>
  <c r="B97"/>
  <c r="B96"/>
  <c r="B95"/>
  <c r="B94"/>
  <c r="A2" i="5"/>
  <c r="B2"/>
  <c r="C2"/>
  <c r="D2"/>
  <c r="E2"/>
  <c r="C3"/>
  <c r="D3"/>
  <c r="E3"/>
  <c r="C4"/>
  <c r="D4"/>
  <c r="E4"/>
  <c r="C5"/>
  <c r="D5"/>
  <c r="E5"/>
  <c r="C6"/>
  <c r="D6"/>
  <c r="E6"/>
  <c r="C7"/>
  <c r="D7"/>
  <c r="E7"/>
  <c r="C8"/>
  <c r="D8"/>
  <c r="E8"/>
  <c r="C9"/>
  <c r="D9"/>
  <c r="E9"/>
  <c r="C10"/>
  <c r="D10"/>
  <c r="E10"/>
  <c r="C11"/>
  <c r="D11"/>
  <c r="E11"/>
  <c r="C12"/>
  <c r="D12"/>
  <c r="E12"/>
  <c r="C13"/>
  <c r="D13"/>
  <c r="E13"/>
  <c r="C14"/>
  <c r="D14"/>
  <c r="E14"/>
  <c r="C15"/>
  <c r="D15"/>
  <c r="E15"/>
  <c r="C16"/>
  <c r="D16"/>
  <c r="E16"/>
  <c r="C17"/>
  <c r="D17"/>
  <c r="E17"/>
  <c r="C18"/>
  <c r="D18"/>
  <c r="E18"/>
  <c r="C19"/>
  <c r="D19"/>
  <c r="E19"/>
  <c r="C20"/>
  <c r="D20"/>
  <c r="E20"/>
  <c r="C21"/>
  <c r="D21"/>
  <c r="E21"/>
  <c r="C22"/>
  <c r="D22"/>
  <c r="E22"/>
  <c r="C23"/>
  <c r="D23"/>
  <c r="E23"/>
  <c r="C24"/>
  <c r="D24"/>
  <c r="E24"/>
  <c r="C25"/>
  <c r="D25"/>
  <c r="E25"/>
  <c r="C26"/>
  <c r="D26"/>
  <c r="E26"/>
  <c r="C27"/>
  <c r="D27"/>
  <c r="E27"/>
  <c r="C28"/>
  <c r="D28"/>
  <c r="E28"/>
  <c r="C29"/>
  <c r="D29"/>
  <c r="E29"/>
  <c r="C30"/>
  <c r="D30"/>
  <c r="E30"/>
  <c r="C31"/>
  <c r="D31"/>
  <c r="E31"/>
  <c r="C32"/>
  <c r="D32"/>
  <c r="E32"/>
  <c r="C33"/>
  <c r="D33"/>
  <c r="E33"/>
  <c r="C34"/>
  <c r="D34"/>
  <c r="E34"/>
  <c r="C35"/>
  <c r="D35"/>
  <c r="E35"/>
  <c r="C36"/>
  <c r="D36"/>
  <c r="E36"/>
  <c r="C37"/>
  <c r="D37"/>
  <c r="E37"/>
  <c r="C38"/>
  <c r="D38"/>
  <c r="E38"/>
  <c r="C39"/>
  <c r="D39"/>
  <c r="E39"/>
  <c r="C40"/>
  <c r="D40"/>
  <c r="E40"/>
  <c r="C41"/>
  <c r="D41"/>
  <c r="E41"/>
  <c r="C42"/>
  <c r="D42"/>
  <c r="E42"/>
  <c r="C43"/>
  <c r="D43"/>
  <c r="E43"/>
  <c r="C44"/>
  <c r="D44"/>
  <c r="E44"/>
  <c r="C45"/>
  <c r="D45"/>
  <c r="E45"/>
  <c r="C46"/>
  <c r="D46"/>
  <c r="E46"/>
  <c r="C47"/>
  <c r="D47"/>
  <c r="E47"/>
  <c r="C48"/>
  <c r="D48"/>
  <c r="E48"/>
  <c r="C49"/>
  <c r="D49"/>
  <c r="E49"/>
  <c r="C50"/>
  <c r="D50"/>
  <c r="E50"/>
  <c r="C51"/>
  <c r="D51"/>
  <c r="E51"/>
  <c r="C52"/>
  <c r="D52"/>
  <c r="E52"/>
  <c r="C53"/>
  <c r="D53"/>
  <c r="E53"/>
  <c r="C54"/>
  <c r="D54"/>
  <c r="E54"/>
  <c r="C55"/>
  <c r="D55"/>
  <c r="E55"/>
  <c r="C56"/>
  <c r="D56"/>
  <c r="E56"/>
  <c r="C57"/>
  <c r="D57"/>
  <c r="E57"/>
  <c r="C58"/>
  <c r="D58"/>
  <c r="E58"/>
  <c r="C59"/>
  <c r="D59"/>
  <c r="E59"/>
  <c r="C60"/>
  <c r="D60"/>
  <c r="E60"/>
  <c r="C61"/>
  <c r="D61"/>
  <c r="E61"/>
  <c r="C62"/>
  <c r="D62"/>
  <c r="E62"/>
  <c r="C63"/>
  <c r="D63"/>
  <c r="E63"/>
  <c r="C64"/>
  <c r="D64"/>
  <c r="E64"/>
  <c r="C65"/>
  <c r="D65"/>
  <c r="E65"/>
  <c r="C66"/>
  <c r="D66"/>
  <c r="E66"/>
  <c r="C67"/>
  <c r="D67"/>
  <c r="E67"/>
  <c r="C68"/>
  <c r="D68"/>
  <c r="E68"/>
  <c r="C69"/>
  <c r="D69"/>
  <c r="E69"/>
  <c r="C70"/>
  <c r="D70"/>
  <c r="E70"/>
  <c r="C71"/>
  <c r="D71"/>
  <c r="E71"/>
  <c r="C72"/>
  <c r="D72"/>
  <c r="E72"/>
  <c r="C73"/>
  <c r="D73"/>
  <c r="E73"/>
  <c r="C74"/>
  <c r="D74"/>
  <c r="E74"/>
  <c r="C75"/>
  <c r="D75"/>
  <c r="E75"/>
  <c r="C76"/>
  <c r="D76"/>
  <c r="E76"/>
  <c r="C77"/>
  <c r="D77"/>
  <c r="E77"/>
  <c r="C78"/>
  <c r="D78"/>
  <c r="E78"/>
  <c r="C79"/>
  <c r="D79"/>
  <c r="E79"/>
  <c r="C80"/>
  <c r="D80"/>
  <c r="E80"/>
  <c r="C81"/>
  <c r="D81"/>
  <c r="E81"/>
  <c r="C82"/>
  <c r="D82"/>
  <c r="E82"/>
  <c r="C83"/>
  <c r="D83"/>
  <c r="E83"/>
  <c r="C84"/>
  <c r="D84"/>
  <c r="E84"/>
  <c r="C85"/>
  <c r="D85"/>
  <c r="E85"/>
  <c r="C86"/>
  <c r="D86"/>
  <c r="E86"/>
  <c r="C87"/>
  <c r="D87"/>
  <c r="E87"/>
  <c r="C88"/>
  <c r="D88"/>
  <c r="E88"/>
  <c r="C89"/>
  <c r="D89"/>
  <c r="E89"/>
  <c r="C90"/>
  <c r="D90"/>
  <c r="E90"/>
  <c r="C91"/>
  <c r="D91"/>
  <c r="E91"/>
  <c r="C92"/>
  <c r="D92"/>
  <c r="E92"/>
  <c r="C93"/>
  <c r="D93"/>
  <c r="E93"/>
  <c r="C94"/>
  <c r="D94"/>
  <c r="E94"/>
  <c r="C95"/>
  <c r="D95"/>
  <c r="E95"/>
  <c r="C96"/>
  <c r="D96"/>
  <c r="E96"/>
  <c r="C97"/>
  <c r="D97"/>
  <c r="E97"/>
  <c r="C98"/>
  <c r="D98"/>
  <c r="E98"/>
  <c r="C99"/>
  <c r="D99"/>
  <c r="E99"/>
  <c r="C100"/>
  <c r="D100"/>
  <c r="E100"/>
  <c r="C101"/>
  <c r="D101"/>
  <c r="E101"/>
  <c r="C102"/>
  <c r="D102"/>
  <c r="E102"/>
  <c r="C103"/>
  <c r="D103"/>
  <c r="E103"/>
  <c r="C104"/>
  <c r="D104"/>
  <c r="E104"/>
  <c r="C105"/>
  <c r="D105"/>
  <c r="E105"/>
  <c r="C106"/>
  <c r="D106"/>
  <c r="E106"/>
  <c r="C107"/>
  <c r="D107"/>
  <c r="E107"/>
  <c r="C108"/>
  <c r="D108"/>
  <c r="E108"/>
  <c r="C109"/>
  <c r="D109"/>
  <c r="E109"/>
  <c r="C110"/>
  <c r="D110"/>
  <c r="E110"/>
  <c r="C111"/>
  <c r="D111"/>
  <c r="E111"/>
  <c r="C112"/>
  <c r="D112"/>
  <c r="E112"/>
  <c r="C113"/>
  <c r="D113"/>
  <c r="E113"/>
  <c r="C114"/>
  <c r="D114"/>
  <c r="E114"/>
  <c r="C115"/>
  <c r="D115"/>
  <c r="E115"/>
  <c r="C116"/>
  <c r="D116"/>
  <c r="E116"/>
  <c r="C117"/>
  <c r="D117"/>
  <c r="E117"/>
  <c r="C118"/>
  <c r="D118"/>
  <c r="E118"/>
  <c r="C119"/>
  <c r="D119"/>
  <c r="E119"/>
  <c r="C120"/>
  <c r="D120"/>
  <c r="E120"/>
  <c r="C121"/>
  <c r="D121"/>
  <c r="E121"/>
  <c r="C122"/>
  <c r="D122"/>
  <c r="E122"/>
  <c r="C123"/>
  <c r="D123"/>
  <c r="E123"/>
  <c r="C124"/>
  <c r="D124"/>
  <c r="E124"/>
  <c r="C125"/>
  <c r="D125"/>
  <c r="E125"/>
  <c r="C126"/>
  <c r="D126"/>
  <c r="E126"/>
  <c r="C127"/>
  <c r="D127"/>
  <c r="E127"/>
  <c r="C128"/>
  <c r="D128"/>
  <c r="E128"/>
  <c r="C129"/>
  <c r="D129"/>
  <c r="E129"/>
  <c r="C130"/>
  <c r="D130"/>
  <c r="E130"/>
  <c r="C131"/>
  <c r="D131"/>
  <c r="E131"/>
  <c r="C132"/>
  <c r="D132"/>
  <c r="E132"/>
  <c r="C133"/>
  <c r="D133"/>
  <c r="E133"/>
  <c r="C134"/>
  <c r="D134"/>
  <c r="E134"/>
  <c r="C135"/>
  <c r="D135"/>
  <c r="E135"/>
  <c r="C136"/>
  <c r="D136"/>
  <c r="E136"/>
  <c r="C137"/>
  <c r="D137"/>
  <c r="E137"/>
  <c r="C138"/>
  <c r="D138"/>
  <c r="E138"/>
  <c r="C139"/>
  <c r="D139"/>
  <c r="E139"/>
  <c r="C140"/>
  <c r="D140"/>
  <c r="E140"/>
  <c r="C141"/>
  <c r="D141"/>
  <c r="E141"/>
  <c r="C142"/>
  <c r="D142"/>
  <c r="E142"/>
  <c r="C143"/>
  <c r="D143"/>
  <c r="E143"/>
  <c r="C144"/>
  <c r="D144"/>
  <c r="E144"/>
  <c r="C145"/>
  <c r="D145"/>
  <c r="E145"/>
  <c r="C146"/>
  <c r="D146"/>
  <c r="E146"/>
  <c r="C147"/>
  <c r="D147"/>
  <c r="E147"/>
  <c r="C148"/>
  <c r="D148"/>
  <c r="E148"/>
  <c r="C149"/>
  <c r="D149"/>
  <c r="E149"/>
  <c r="C150"/>
  <c r="D150"/>
  <c r="E150"/>
  <c r="C151"/>
  <c r="D151"/>
  <c r="E151"/>
  <c r="C152"/>
  <c r="D152"/>
  <c r="E152"/>
  <c r="C153"/>
  <c r="D153"/>
  <c r="E153"/>
  <c r="C154"/>
  <c r="D154"/>
  <c r="E154"/>
  <c r="C155"/>
  <c r="D155"/>
  <c r="E155"/>
  <c r="C156"/>
  <c r="D156"/>
  <c r="E156"/>
  <c r="C157"/>
  <c r="D157"/>
  <c r="E157"/>
  <c r="C158"/>
  <c r="D158"/>
  <c r="E158"/>
  <c r="C159"/>
  <c r="D159"/>
  <c r="E159"/>
  <c r="C160"/>
  <c r="D160"/>
  <c r="E160"/>
  <c r="C161"/>
  <c r="D161"/>
  <c r="E161"/>
  <c r="C162"/>
  <c r="D162"/>
  <c r="E162"/>
  <c r="C163"/>
  <c r="D163"/>
  <c r="E163"/>
  <c r="C164"/>
  <c r="D164"/>
  <c r="E164"/>
  <c r="C165"/>
  <c r="D165"/>
  <c r="E165"/>
  <c r="C166"/>
  <c r="D166"/>
  <c r="E166"/>
  <c r="C167"/>
  <c r="D167"/>
  <c r="E167"/>
  <c r="C168"/>
  <c r="D168"/>
  <c r="E168"/>
  <c r="B4" i="29"/>
  <c r="F12" i="18"/>
  <c r="F10"/>
  <c r="E12"/>
  <c r="C12"/>
  <c r="D11"/>
  <c r="E10"/>
  <c r="B10"/>
  <c r="P55" i="5"/>
  <c r="P59"/>
  <c r="P61"/>
  <c r="P63"/>
  <c r="O63"/>
  <c r="P67"/>
  <c r="P69"/>
  <c r="P71"/>
  <c r="O71"/>
  <c r="P75"/>
  <c r="P79"/>
  <c r="O79"/>
  <c r="P83"/>
  <c r="O83"/>
  <c r="P85"/>
  <c r="O85"/>
  <c r="P87"/>
  <c r="O87"/>
  <c r="P91"/>
  <c r="O91"/>
  <c r="P93"/>
  <c r="O93"/>
  <c r="P95"/>
  <c r="O95"/>
  <c r="P99"/>
  <c r="O99"/>
  <c r="P101"/>
  <c r="O101"/>
  <c r="P103"/>
  <c r="O103"/>
  <c r="P107"/>
  <c r="O107"/>
  <c r="P109"/>
  <c r="O109"/>
  <c r="P111"/>
  <c r="O111"/>
  <c r="P115"/>
  <c r="O115"/>
  <c r="P117"/>
  <c r="O117"/>
  <c r="P119"/>
  <c r="O119"/>
  <c r="P123"/>
  <c r="O123"/>
  <c r="P125"/>
  <c r="O125"/>
  <c r="P127"/>
  <c r="O127"/>
  <c r="P131"/>
  <c r="O131"/>
  <c r="P133"/>
  <c r="O133"/>
  <c r="P135"/>
  <c r="O135"/>
  <c r="P139"/>
  <c r="O139"/>
  <c r="P141"/>
  <c r="O141"/>
  <c r="P157"/>
  <c r="O157"/>
  <c r="P165"/>
  <c r="O165"/>
  <c r="D16" i="8"/>
  <c r="D14"/>
  <c r="D12"/>
  <c r="D10"/>
  <c r="D8"/>
  <c r="D6"/>
  <c r="D4"/>
  <c r="D2"/>
  <c r="D15"/>
  <c r="D13"/>
  <c r="D11"/>
  <c r="D9"/>
  <c r="D7"/>
  <c r="D5"/>
  <c r="D3"/>
  <c r="P145" i="5"/>
  <c r="O145"/>
  <c r="P153"/>
  <c r="O153"/>
  <c r="P161"/>
  <c r="O161"/>
  <c r="J1" i="28"/>
  <c r="G2"/>
  <c r="I166" i="5"/>
  <c r="J166" s="1"/>
  <c r="F1" i="28"/>
  <c r="C2"/>
  <c r="I168" i="5"/>
  <c r="J168" s="1"/>
  <c r="A6" i="29"/>
  <c r="E26" i="19"/>
  <c r="J26"/>
  <c r="K27"/>
  <c r="H28"/>
  <c r="L28"/>
  <c r="I29"/>
  <c r="E30"/>
  <c r="J30"/>
  <c r="I31"/>
  <c r="E32"/>
  <c r="J32"/>
  <c r="I33"/>
  <c r="E34"/>
  <c r="J34"/>
  <c r="G7"/>
  <c r="G11"/>
  <c r="G19"/>
  <c r="G29"/>
  <c r="B2" i="28"/>
  <c r="D2"/>
  <c r="E1"/>
  <c r="M1"/>
  <c r="J2"/>
  <c r="H1"/>
  <c r="E2"/>
  <c r="A7" i="29"/>
  <c r="I1" i="28"/>
  <c r="F2"/>
  <c r="A8" i="29"/>
  <c r="L1" i="28"/>
  <c r="I2"/>
  <c r="K1"/>
  <c r="H2"/>
  <c r="P1"/>
  <c r="M2"/>
  <c r="S1"/>
  <c r="P2"/>
  <c r="N1"/>
  <c r="K2"/>
  <c r="O1"/>
  <c r="L2"/>
  <c r="A9" i="29"/>
  <c r="R1" i="28"/>
  <c r="O2"/>
  <c r="Q1"/>
  <c r="N2"/>
  <c r="V1"/>
  <c r="S2"/>
  <c r="A10" i="29"/>
  <c r="A11"/>
  <c r="Y1" i="28"/>
  <c r="V2"/>
  <c r="T1"/>
  <c r="Q2"/>
  <c r="U1"/>
  <c r="R2"/>
  <c r="X1"/>
  <c r="U2"/>
  <c r="W1"/>
  <c r="T2"/>
  <c r="AB1"/>
  <c r="Y2"/>
  <c r="A12" i="29"/>
  <c r="AE1" i="28"/>
  <c r="AB2"/>
  <c r="Z1"/>
  <c r="W2"/>
  <c r="AA1"/>
  <c r="X2"/>
  <c r="A13" i="29"/>
  <c r="AD1" i="28"/>
  <c r="AA2"/>
  <c r="AC1"/>
  <c r="Z2"/>
  <c r="AH1"/>
  <c r="AE2"/>
  <c r="A14" i="29"/>
  <c r="A15"/>
  <c r="AK1" i="28"/>
  <c r="AH2"/>
  <c r="AF1"/>
  <c r="AC2"/>
  <c r="AG1"/>
  <c r="AD2"/>
  <c r="AJ1"/>
  <c r="AG2"/>
  <c r="AI1"/>
  <c r="AF2"/>
  <c r="AN1"/>
  <c r="AK2"/>
  <c r="A16" i="29"/>
  <c r="AQ1" i="28"/>
  <c r="AQ2"/>
  <c r="AN2"/>
  <c r="AL1"/>
  <c r="AI2"/>
  <c r="AM1"/>
  <c r="AJ2"/>
  <c r="A17" i="29"/>
  <c r="AP1" i="28"/>
  <c r="AM2"/>
  <c r="AO1"/>
  <c r="AL2"/>
  <c r="A18" i="29"/>
  <c r="AR1" i="28"/>
  <c r="AR2"/>
  <c r="AO2"/>
  <c r="AS1"/>
  <c r="AS2"/>
  <c r="AP2"/>
  <c r="A19" i="2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G170" i="5"/>
  <c r="G172"/>
  <c r="J171"/>
  <c r="G174"/>
  <c r="L171" a="1"/>
  <c r="L177" a="1"/>
  <c r="B15" i="29" l="1"/>
  <c r="B14"/>
  <c r="B13"/>
  <c r="B12"/>
  <c r="B11"/>
  <c r="B10"/>
  <c r="B9"/>
  <c r="B8"/>
  <c r="B7"/>
  <c r="B6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5"/>
  <c r="B162"/>
  <c r="A164"/>
  <c r="C163"/>
  <c r="B163"/>
  <c r="C162"/>
  <c r="P77" i="5"/>
  <c r="P57"/>
  <c r="O57"/>
  <c r="P65"/>
  <c r="O65"/>
  <c r="P73"/>
  <c r="O73"/>
  <c r="P81"/>
  <c r="O81"/>
  <c r="P88"/>
  <c r="O88"/>
  <c r="P96"/>
  <c r="O96"/>
  <c r="P104"/>
  <c r="O104"/>
  <c r="P112"/>
  <c r="O112"/>
  <c r="P120"/>
  <c r="O120"/>
  <c r="P128"/>
  <c r="O128"/>
  <c r="P136"/>
  <c r="O136"/>
  <c r="P149"/>
  <c r="O149"/>
  <c r="P56"/>
  <c r="O56"/>
  <c r="P64"/>
  <c r="O64"/>
  <c r="P72"/>
  <c r="O72"/>
  <c r="P80"/>
  <c r="O80"/>
  <c r="P89"/>
  <c r="O89"/>
  <c r="P97"/>
  <c r="O97"/>
  <c r="P105"/>
  <c r="O105"/>
  <c r="P113"/>
  <c r="O113"/>
  <c r="P121"/>
  <c r="O121"/>
  <c r="P129"/>
  <c r="O129"/>
  <c r="P137"/>
  <c r="O137"/>
  <c r="P143"/>
  <c r="O143"/>
  <c r="P148"/>
  <c r="O148"/>
  <c r="J25" i="19"/>
  <c r="J29"/>
  <c r="I20"/>
  <c r="H21"/>
  <c r="L21"/>
  <c r="I24"/>
  <c r="E25"/>
  <c r="I26"/>
  <c r="I28"/>
  <c r="K30"/>
  <c r="E33"/>
  <c r="G6"/>
  <c r="G10"/>
  <c r="G12"/>
  <c r="G13"/>
  <c r="G16"/>
  <c r="G27"/>
  <c r="G31"/>
  <c r="G26"/>
  <c r="G15"/>
  <c r="G9"/>
  <c r="L34"/>
  <c r="H34"/>
  <c r="K33"/>
  <c r="F33"/>
  <c r="H32"/>
  <c r="K31"/>
  <c r="F31"/>
  <c r="H30"/>
  <c r="K29"/>
  <c r="F29"/>
  <c r="J28"/>
  <c r="E28"/>
  <c r="I27"/>
  <c r="H26"/>
  <c r="E5"/>
  <c r="H5"/>
  <c r="J5"/>
  <c r="L5"/>
  <c r="F6"/>
  <c r="I6"/>
  <c r="K6"/>
  <c r="E7"/>
  <c r="H7"/>
  <c r="J7"/>
  <c r="L7"/>
  <c r="F8"/>
  <c r="I8"/>
  <c r="K8"/>
  <c r="E9"/>
  <c r="H9"/>
  <c r="J9"/>
  <c r="L9"/>
  <c r="F10"/>
  <c r="I10"/>
  <c r="K10"/>
  <c r="E11"/>
  <c r="H11"/>
  <c r="J11"/>
  <c r="L11"/>
  <c r="F12"/>
  <c r="I12"/>
  <c r="K12"/>
  <c r="E13"/>
  <c r="H13"/>
  <c r="J13"/>
  <c r="L13"/>
  <c r="F14"/>
  <c r="I14"/>
  <c r="K14"/>
  <c r="E15"/>
  <c r="H15"/>
  <c r="J15"/>
  <c r="L15"/>
  <c r="F16"/>
  <c r="I16"/>
  <c r="K16"/>
  <c r="E17"/>
  <c r="H17"/>
  <c r="J17"/>
  <c r="L17"/>
  <c r="F18"/>
  <c r="I18"/>
  <c r="K18"/>
  <c r="E19"/>
  <c r="H19"/>
  <c r="J19"/>
  <c r="L19"/>
  <c r="F20"/>
  <c r="K20"/>
  <c r="F21"/>
  <c r="I21"/>
  <c r="K21"/>
  <c r="F22"/>
  <c r="K22"/>
  <c r="E24"/>
  <c r="H24"/>
  <c r="J24"/>
  <c r="L24"/>
  <c r="H25"/>
  <c r="L25"/>
  <c r="E27"/>
  <c r="L27"/>
  <c r="E29"/>
  <c r="F30"/>
  <c r="H31"/>
  <c r="I32"/>
  <c r="J33"/>
  <c r="K34"/>
  <c r="G21"/>
  <c r="G24"/>
  <c r="L20"/>
  <c r="G34"/>
  <c r="H20"/>
  <c r="J20"/>
  <c r="E22"/>
  <c r="H22"/>
  <c r="J22"/>
  <c r="L22"/>
  <c r="F25"/>
  <c r="I25"/>
  <c r="K25"/>
  <c r="F26"/>
  <c r="K26"/>
  <c r="F27"/>
  <c r="J27"/>
  <c r="F28"/>
  <c r="K28"/>
  <c r="H29"/>
  <c r="L29"/>
  <c r="I30"/>
  <c r="E31"/>
  <c r="J31"/>
  <c r="F32"/>
  <c r="K32"/>
  <c r="H33"/>
  <c r="L33"/>
  <c r="I34"/>
  <c r="G5"/>
  <c r="G18"/>
  <c r="G20"/>
  <c r="G25"/>
  <c r="G14"/>
  <c r="G28"/>
  <c r="G30"/>
  <c r="L30"/>
  <c r="G32"/>
  <c r="L32"/>
  <c r="G8"/>
  <c r="L26"/>
  <c r="G33"/>
  <c r="P68" i="5"/>
  <c r="O68"/>
  <c r="P84"/>
  <c r="O84"/>
  <c r="P100"/>
  <c r="O100"/>
  <c r="P116"/>
  <c r="O116"/>
  <c r="P132"/>
  <c r="O132"/>
  <c r="P146"/>
  <c r="O146"/>
  <c r="P3"/>
  <c r="O3"/>
  <c r="P5"/>
  <c r="O5"/>
  <c r="P7"/>
  <c r="O7"/>
  <c r="P9"/>
  <c r="O9"/>
  <c r="P11"/>
  <c r="O11"/>
  <c r="P13"/>
  <c r="O13"/>
  <c r="P15"/>
  <c r="O15"/>
  <c r="P17"/>
  <c r="O17"/>
  <c r="P19"/>
  <c r="O19"/>
  <c r="P21"/>
  <c r="O21"/>
  <c r="P23"/>
  <c r="O23"/>
  <c r="P25"/>
  <c r="O25"/>
  <c r="P27"/>
  <c r="O27"/>
  <c r="P29"/>
  <c r="O29"/>
  <c r="P31"/>
  <c r="O31"/>
  <c r="P33"/>
  <c r="O33"/>
  <c r="P35"/>
  <c r="O35"/>
  <c r="P37"/>
  <c r="O37"/>
  <c r="P39"/>
  <c r="O39"/>
  <c r="P41"/>
  <c r="O41"/>
  <c r="P43"/>
  <c r="O43"/>
  <c r="P45"/>
  <c r="O45"/>
  <c r="P47"/>
  <c r="O47"/>
  <c r="P49"/>
  <c r="O49"/>
  <c r="P51"/>
  <c r="O51"/>
  <c r="P53"/>
  <c r="O53"/>
  <c r="P60"/>
  <c r="O60"/>
  <c r="P76"/>
  <c r="O76"/>
  <c r="P92"/>
  <c r="O92"/>
  <c r="P108"/>
  <c r="O108"/>
  <c r="P124"/>
  <c r="O124"/>
  <c r="P140"/>
  <c r="O140"/>
  <c r="D2" i="29"/>
  <c r="D162" s="1"/>
  <c r="C7"/>
  <c r="C8"/>
  <c r="C9"/>
  <c r="C10"/>
  <c r="C11"/>
  <c r="C12"/>
  <c r="C13"/>
  <c r="C14"/>
  <c r="C15"/>
  <c r="C120"/>
  <c r="C123"/>
  <c r="C124"/>
  <c r="C129"/>
  <c r="C130"/>
  <c r="C133"/>
  <c r="C134"/>
  <c r="C139"/>
  <c r="C140"/>
  <c r="C145"/>
  <c r="C146"/>
  <c r="C149"/>
  <c r="C150"/>
  <c r="C153"/>
  <c r="C154"/>
  <c r="C155"/>
  <c r="C157"/>
  <c r="C158"/>
  <c r="C161"/>
  <c r="C5"/>
  <c r="C4"/>
  <c r="C6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1"/>
  <c r="C122"/>
  <c r="C125"/>
  <c r="C126"/>
  <c r="C127"/>
  <c r="C128"/>
  <c r="C131"/>
  <c r="C132"/>
  <c r="C135"/>
  <c r="C136"/>
  <c r="C137"/>
  <c r="C138"/>
  <c r="C141"/>
  <c r="C142"/>
  <c r="C143"/>
  <c r="C144"/>
  <c r="C147"/>
  <c r="C148"/>
  <c r="C151"/>
  <c r="C152"/>
  <c r="C156"/>
  <c r="C159"/>
  <c r="C160"/>
  <c r="L175" i="5"/>
  <c r="M174"/>
  <c r="M171"/>
  <c r="L171"/>
  <c r="M173"/>
  <c r="L173"/>
  <c r="M172"/>
  <c r="L172"/>
  <c r="M175"/>
  <c r="L174"/>
  <c r="L179"/>
  <c r="M178"/>
  <c r="L180"/>
  <c r="L178"/>
  <c r="M181"/>
  <c r="L177"/>
  <c r="L181"/>
  <c r="M180"/>
  <c r="M179"/>
  <c r="M177"/>
  <c r="J170"/>
  <c r="L183" a="1"/>
  <c r="D163" i="29" l="1"/>
  <c r="A165"/>
  <c r="C164"/>
  <c r="D164"/>
  <c r="B164"/>
  <c r="L185" i="5"/>
  <c r="L184"/>
  <c r="M185"/>
  <c r="L187"/>
  <c r="M183"/>
  <c r="M184"/>
  <c r="M187"/>
  <c r="L183"/>
  <c r="M186"/>
  <c r="L186"/>
  <c r="D4" i="29"/>
  <c r="D8"/>
  <c r="D10"/>
  <c r="D12"/>
  <c r="D14"/>
  <c r="D17"/>
  <c r="D19"/>
  <c r="D21"/>
  <c r="D23"/>
  <c r="D25"/>
  <c r="D27"/>
  <c r="D29"/>
  <c r="D31"/>
  <c r="D33"/>
  <c r="D35"/>
  <c r="D37"/>
  <c r="D39"/>
  <c r="D41"/>
  <c r="D43"/>
  <c r="D45"/>
  <c r="D47"/>
  <c r="D49"/>
  <c r="D51"/>
  <c r="D53"/>
  <c r="D55"/>
  <c r="D57"/>
  <c r="D59"/>
  <c r="D61"/>
  <c r="D63"/>
  <c r="D65"/>
  <c r="D67"/>
  <c r="D69"/>
  <c r="D71"/>
  <c r="D73"/>
  <c r="D75"/>
  <c r="D77"/>
  <c r="D79"/>
  <c r="D81"/>
  <c r="D83"/>
  <c r="D85"/>
  <c r="D87"/>
  <c r="D89"/>
  <c r="D91"/>
  <c r="D93"/>
  <c r="D95"/>
  <c r="D97"/>
  <c r="D99"/>
  <c r="D101"/>
  <c r="D103"/>
  <c r="D105"/>
  <c r="D107"/>
  <c r="D109"/>
  <c r="D111"/>
  <c r="D113"/>
  <c r="D115"/>
  <c r="D117"/>
  <c r="D119"/>
  <c r="D121"/>
  <c r="D123"/>
  <c r="D125"/>
  <c r="D127"/>
  <c r="D129"/>
  <c r="D131"/>
  <c r="D133"/>
  <c r="D135"/>
  <c r="D137"/>
  <c r="D139"/>
  <c r="D141"/>
  <c r="D143"/>
  <c r="D145"/>
  <c r="D147"/>
  <c r="D149"/>
  <c r="D151"/>
  <c r="D153"/>
  <c r="D155"/>
  <c r="D157"/>
  <c r="D159"/>
  <c r="D161"/>
  <c r="D118"/>
  <c r="D120"/>
  <c r="D124"/>
  <c r="D126"/>
  <c r="D130"/>
  <c r="D134"/>
  <c r="D136"/>
  <c r="D140"/>
  <c r="D142"/>
  <c r="D146"/>
  <c r="D150"/>
  <c r="D158"/>
  <c r="D6"/>
  <c r="D5"/>
  <c r="D7"/>
  <c r="D9"/>
  <c r="D11"/>
  <c r="D13"/>
  <c r="D15"/>
  <c r="D16"/>
  <c r="D18"/>
  <c r="D20"/>
  <c r="D22"/>
  <c r="D24"/>
  <c r="D26"/>
  <c r="D28"/>
  <c r="D30"/>
  <c r="D32"/>
  <c r="D34"/>
  <c r="D36"/>
  <c r="D38"/>
  <c r="D40"/>
  <c r="D42"/>
  <c r="D44"/>
  <c r="D46"/>
  <c r="D48"/>
  <c r="D50"/>
  <c r="D52"/>
  <c r="D54"/>
  <c r="D56"/>
  <c r="D58"/>
  <c r="D60"/>
  <c r="D62"/>
  <c r="D64"/>
  <c r="D66"/>
  <c r="D68"/>
  <c r="D70"/>
  <c r="D72"/>
  <c r="D74"/>
  <c r="D76"/>
  <c r="D78"/>
  <c r="D80"/>
  <c r="D82"/>
  <c r="D84"/>
  <c r="D86"/>
  <c r="D88"/>
  <c r="D90"/>
  <c r="D92"/>
  <c r="D94"/>
  <c r="D96"/>
  <c r="D98"/>
  <c r="D100"/>
  <c r="D102"/>
  <c r="D104"/>
  <c r="D106"/>
  <c r="D108"/>
  <c r="D110"/>
  <c r="D112"/>
  <c r="D114"/>
  <c r="D116"/>
  <c r="D122"/>
  <c r="D128"/>
  <c r="D132"/>
  <c r="D138"/>
  <c r="D144"/>
  <c r="D148"/>
  <c r="D152"/>
  <c r="D154"/>
  <c r="D156"/>
  <c r="D160"/>
  <c r="R164" i="5"/>
  <c r="R156"/>
  <c r="R148"/>
  <c r="R140"/>
  <c r="R132"/>
  <c r="R124"/>
  <c r="R116"/>
  <c r="R108"/>
  <c r="R100"/>
  <c r="R92"/>
  <c r="R84"/>
  <c r="R76"/>
  <c r="R68"/>
  <c r="R60"/>
  <c r="R52"/>
  <c r="R44"/>
  <c r="R36"/>
  <c r="R28"/>
  <c r="R20"/>
  <c r="R12"/>
  <c r="R4"/>
  <c r="R161"/>
  <c r="R153"/>
  <c r="R145"/>
  <c r="R137"/>
  <c r="R129"/>
  <c r="R121"/>
  <c r="R113"/>
  <c r="R105"/>
  <c r="R97"/>
  <c r="R89"/>
  <c r="R81"/>
  <c r="R73"/>
  <c r="R65"/>
  <c r="R57"/>
  <c r="R49"/>
  <c r="R41"/>
  <c r="R33"/>
  <c r="R158"/>
  <c r="R142"/>
  <c r="R126"/>
  <c r="R110"/>
  <c r="R94"/>
  <c r="R78"/>
  <c r="R62"/>
  <c r="R46"/>
  <c r="R30"/>
  <c r="R14"/>
  <c r="R163"/>
  <c r="R147"/>
  <c r="R131"/>
  <c r="R115"/>
  <c r="R99"/>
  <c r="R83"/>
  <c r="R67"/>
  <c r="R51"/>
  <c r="R35"/>
  <c r="R25"/>
  <c r="R17"/>
  <c r="R9"/>
  <c r="R162"/>
  <c r="R146"/>
  <c r="R130"/>
  <c r="R114"/>
  <c r="R98"/>
  <c r="R82"/>
  <c r="R66"/>
  <c r="R50"/>
  <c r="R34"/>
  <c r="R18"/>
  <c r="R167"/>
  <c r="R151"/>
  <c r="R135"/>
  <c r="R119"/>
  <c r="R103"/>
  <c r="R87"/>
  <c r="R71"/>
  <c r="R55"/>
  <c r="R39"/>
  <c r="R27"/>
  <c r="R19"/>
  <c r="R11"/>
  <c r="R3"/>
  <c r="R168"/>
  <c r="R160"/>
  <c r="R152"/>
  <c r="R144"/>
  <c r="R136"/>
  <c r="R128"/>
  <c r="R120"/>
  <c r="R112"/>
  <c r="R104"/>
  <c r="R96"/>
  <c r="R88"/>
  <c r="R80"/>
  <c r="R72"/>
  <c r="R64"/>
  <c r="R56"/>
  <c r="R48"/>
  <c r="R40"/>
  <c r="R32"/>
  <c r="R24"/>
  <c r="R16"/>
  <c r="R8"/>
  <c r="R165"/>
  <c r="R157"/>
  <c r="R149"/>
  <c r="R141"/>
  <c r="R133"/>
  <c r="R125"/>
  <c r="R117"/>
  <c r="R109"/>
  <c r="R101"/>
  <c r="R93"/>
  <c r="R85"/>
  <c r="R77"/>
  <c r="R69"/>
  <c r="R61"/>
  <c r="R53"/>
  <c r="R45"/>
  <c r="R37"/>
  <c r="R166"/>
  <c r="R150"/>
  <c r="R134"/>
  <c r="R118"/>
  <c r="R102"/>
  <c r="R86"/>
  <c r="R70"/>
  <c r="R54"/>
  <c r="R38"/>
  <c r="R22"/>
  <c r="R6"/>
  <c r="R155"/>
  <c r="R139"/>
  <c r="R123"/>
  <c r="R107"/>
  <c r="R91"/>
  <c r="R75"/>
  <c r="R59"/>
  <c r="R43"/>
  <c r="R29"/>
  <c r="R21"/>
  <c r="R13"/>
  <c r="R5"/>
  <c r="R154"/>
  <c r="R138"/>
  <c r="R122"/>
  <c r="R106"/>
  <c r="R90"/>
  <c r="R74"/>
  <c r="R58"/>
  <c r="R42"/>
  <c r="R26"/>
  <c r="R10"/>
  <c r="R159"/>
  <c r="R143"/>
  <c r="R127"/>
  <c r="R111"/>
  <c r="R95"/>
  <c r="R79"/>
  <c r="R63"/>
  <c r="R47"/>
  <c r="R31"/>
  <c r="R23"/>
  <c r="R15"/>
  <c r="R7"/>
  <c r="Q17"/>
  <c r="Q49"/>
  <c r="Q81"/>
  <c r="Q61"/>
  <c r="Q29"/>
  <c r="Q83"/>
  <c r="Q67"/>
  <c r="Q51"/>
  <c r="Q35"/>
  <c r="Q19"/>
  <c r="Q168"/>
  <c r="Q160"/>
  <c r="Q152"/>
  <c r="Q144"/>
  <c r="Q136"/>
  <c r="Q128"/>
  <c r="Q120"/>
  <c r="Q112"/>
  <c r="Q104"/>
  <c r="Q96"/>
  <c r="Q88"/>
  <c r="Q80"/>
  <c r="Q72"/>
  <c r="Q64"/>
  <c r="Q56"/>
  <c r="Q48"/>
  <c r="Q40"/>
  <c r="Q32"/>
  <c r="Q24"/>
  <c r="Q16"/>
  <c r="Q8"/>
  <c r="Q165"/>
  <c r="Q157"/>
  <c r="Q149"/>
  <c r="Q141"/>
  <c r="Q133"/>
  <c r="Q125"/>
  <c r="Q117"/>
  <c r="Q109"/>
  <c r="Q101"/>
  <c r="Q93"/>
  <c r="Q9"/>
  <c r="Q73"/>
  <c r="Q37"/>
  <c r="Q71"/>
  <c r="Q39"/>
  <c r="Q7"/>
  <c r="Q154"/>
  <c r="Q138"/>
  <c r="Q122"/>
  <c r="Q106"/>
  <c r="Q90"/>
  <c r="Q74"/>
  <c r="Q58"/>
  <c r="Q42"/>
  <c r="Q26"/>
  <c r="Q10"/>
  <c r="Q159"/>
  <c r="Q143"/>
  <c r="Q127"/>
  <c r="Q111"/>
  <c r="Q95"/>
  <c r="Q25"/>
  <c r="Q85"/>
  <c r="Q21"/>
  <c r="Q63"/>
  <c r="Q31"/>
  <c r="Q166"/>
  <c r="Q150"/>
  <c r="Q134"/>
  <c r="Q118"/>
  <c r="Q102"/>
  <c r="Q86"/>
  <c r="Q70"/>
  <c r="Q54"/>
  <c r="Q3"/>
  <c r="Q33"/>
  <c r="Q65"/>
  <c r="Q77"/>
  <c r="Q45"/>
  <c r="Q13"/>
  <c r="Q75"/>
  <c r="Q59"/>
  <c r="Q43"/>
  <c r="Q27"/>
  <c r="Q11"/>
  <c r="Q164"/>
  <c r="Q156"/>
  <c r="Q148"/>
  <c r="Q140"/>
  <c r="Q132"/>
  <c r="Q124"/>
  <c r="Q116"/>
  <c r="Q108"/>
  <c r="Q100"/>
  <c r="Q92"/>
  <c r="Q84"/>
  <c r="Q76"/>
  <c r="Q68"/>
  <c r="Q60"/>
  <c r="Q52"/>
  <c r="Q44"/>
  <c r="Q36"/>
  <c r="Q28"/>
  <c r="Q20"/>
  <c r="Q12"/>
  <c r="Q4"/>
  <c r="Q161"/>
  <c r="Q153"/>
  <c r="Q145"/>
  <c r="Q137"/>
  <c r="Q129"/>
  <c r="Q121"/>
  <c r="Q113"/>
  <c r="Q105"/>
  <c r="Q97"/>
  <c r="Q89"/>
  <c r="Q41"/>
  <c r="Q69"/>
  <c r="Q5"/>
  <c r="Q55"/>
  <c r="Q23"/>
  <c r="Q162"/>
  <c r="Q146"/>
  <c r="Q130"/>
  <c r="Q98"/>
  <c r="Q66"/>
  <c r="Q34"/>
  <c r="Q167"/>
  <c r="Q135"/>
  <c r="Q103"/>
  <c r="Q57"/>
  <c r="Q79"/>
  <c r="Q15"/>
  <c r="Q142"/>
  <c r="Q110"/>
  <c r="Q78"/>
  <c r="Q46"/>
  <c r="Q30"/>
  <c r="Q14"/>
  <c r="Q163"/>
  <c r="Q147"/>
  <c r="Q131"/>
  <c r="Q115"/>
  <c r="Q99"/>
  <c r="Q91"/>
  <c r="Q114"/>
  <c r="Q82"/>
  <c r="Q50"/>
  <c r="Q18"/>
  <c r="Q151"/>
  <c r="Q119"/>
  <c r="Q87"/>
  <c r="Q53"/>
  <c r="Q47"/>
  <c r="Q158"/>
  <c r="Q126"/>
  <c r="Q94"/>
  <c r="Q62"/>
  <c r="Q38"/>
  <c r="Q22"/>
  <c r="Q6"/>
  <c r="Q155"/>
  <c r="Q139"/>
  <c r="Q123"/>
  <c r="Q107"/>
  <c r="C165" i="29" l="1"/>
  <c r="B165"/>
  <c r="D165"/>
  <c r="S108" i="5"/>
  <c r="S45"/>
  <c r="S103"/>
  <c r="S70"/>
  <c r="S136"/>
  <c r="S145"/>
  <c r="S159"/>
  <c r="S8"/>
  <c r="S14"/>
  <c r="S17"/>
  <c r="S44"/>
  <c r="S107"/>
  <c r="S31"/>
  <c r="S122"/>
  <c r="S109"/>
  <c r="S72"/>
  <c r="S51"/>
  <c r="S142"/>
  <c r="S66"/>
  <c r="S81"/>
  <c r="S164"/>
  <c r="S43"/>
  <c r="S6"/>
  <c r="S134"/>
  <c r="S95"/>
  <c r="S58"/>
  <c r="S13"/>
  <c r="S77"/>
  <c r="S141"/>
  <c r="S40"/>
  <c r="S104"/>
  <c r="S168"/>
  <c r="S115"/>
  <c r="S78"/>
  <c r="S39"/>
  <c r="S167"/>
  <c r="S130"/>
  <c r="S49"/>
  <c r="S113"/>
  <c r="S12"/>
  <c r="S76"/>
  <c r="S140"/>
  <c r="S11"/>
  <c r="S75"/>
  <c r="S139"/>
  <c r="S38"/>
  <c r="S102"/>
  <c r="S166"/>
  <c r="S63"/>
  <c r="S127"/>
  <c r="S26"/>
  <c r="S90"/>
  <c r="S154"/>
  <c r="S29"/>
  <c r="S61"/>
  <c r="S93"/>
  <c r="S125"/>
  <c r="S157"/>
  <c r="S24"/>
  <c r="S56"/>
  <c r="S88"/>
  <c r="S120"/>
  <c r="S152"/>
  <c r="S19"/>
  <c r="S83"/>
  <c r="S147"/>
  <c r="S46"/>
  <c r="S110"/>
  <c r="S7"/>
  <c r="S71"/>
  <c r="S135"/>
  <c r="S34"/>
  <c r="S98"/>
  <c r="S162"/>
  <c r="S33"/>
  <c r="S65"/>
  <c r="S97"/>
  <c r="S129"/>
  <c r="S161"/>
  <c r="S28"/>
  <c r="S60"/>
  <c r="S92"/>
  <c r="S124"/>
  <c r="S156"/>
  <c r="S27"/>
  <c r="S59"/>
  <c r="S91"/>
  <c r="S123"/>
  <c r="S155"/>
  <c r="S22"/>
  <c r="S54"/>
  <c r="S86"/>
  <c r="S118"/>
  <c r="S150"/>
  <c r="S15"/>
  <c r="S47"/>
  <c r="S79"/>
  <c r="S111"/>
  <c r="S143"/>
  <c r="S10"/>
  <c r="S42"/>
  <c r="S74"/>
  <c r="S106"/>
  <c r="S138"/>
  <c r="S5"/>
  <c r="S21"/>
  <c r="S37"/>
  <c r="S53"/>
  <c r="S69"/>
  <c r="S85"/>
  <c r="S101"/>
  <c r="S117"/>
  <c r="S133"/>
  <c r="S149"/>
  <c r="S165"/>
  <c r="S16"/>
  <c r="S32"/>
  <c r="S48"/>
  <c r="S64"/>
  <c r="S80"/>
  <c r="S96"/>
  <c r="S112"/>
  <c r="S128"/>
  <c r="S144"/>
  <c r="S160"/>
  <c r="S3"/>
  <c r="S35"/>
  <c r="S67"/>
  <c r="S99"/>
  <c r="S131"/>
  <c r="S163"/>
  <c r="S30"/>
  <c r="S62"/>
  <c r="S94"/>
  <c r="S126"/>
  <c r="S158"/>
  <c r="S23"/>
  <c r="S55"/>
  <c r="S87"/>
  <c r="S119"/>
  <c r="S151"/>
  <c r="S18"/>
  <c r="S50"/>
  <c r="S82"/>
  <c r="S114"/>
  <c r="S146"/>
  <c r="S9"/>
  <c r="S25"/>
  <c r="S41"/>
  <c r="S57"/>
  <c r="S73"/>
  <c r="S89"/>
  <c r="S105"/>
  <c r="S121"/>
  <c r="S137"/>
  <c r="S153"/>
  <c r="S4"/>
  <c r="S20"/>
  <c r="S36"/>
  <c r="S52"/>
  <c r="S68"/>
  <c r="S84"/>
  <c r="S100"/>
  <c r="S116"/>
  <c r="S132"/>
  <c r="S148"/>
</calcChain>
</file>

<file path=xl/sharedStrings.xml><?xml version="1.0" encoding="utf-8"?>
<sst xmlns="http://schemas.openxmlformats.org/spreadsheetml/2006/main" count="1657" uniqueCount="763">
  <si>
    <t>Nigeria fitted</t>
  </si>
  <si>
    <t>actual</t>
  </si>
  <si>
    <t>fitted</t>
  </si>
  <si>
    <t>Country</t>
  </si>
  <si>
    <t>Name</t>
  </si>
  <si>
    <t>AFG</t>
  </si>
  <si>
    <t>Afghanistan</t>
  </si>
  <si>
    <t>ALB</t>
  </si>
  <si>
    <t>Albania</t>
  </si>
  <si>
    <t>ALG</t>
  </si>
  <si>
    <t>ANG</t>
  </si>
  <si>
    <t>ARG</t>
  </si>
  <si>
    <t>ARM</t>
  </si>
  <si>
    <t>AUL</t>
  </si>
  <si>
    <t>AUS</t>
  </si>
  <si>
    <t>AZE</t>
  </si>
  <si>
    <t>BAN</t>
  </si>
  <si>
    <t>BEL</t>
  </si>
  <si>
    <t>BLG</t>
  </si>
  <si>
    <t>BLZ</t>
  </si>
  <si>
    <t>BEN</t>
  </si>
  <si>
    <t>BOL</t>
  </si>
  <si>
    <t>BOS</t>
  </si>
  <si>
    <t>BOT</t>
  </si>
  <si>
    <t>BRA</t>
  </si>
  <si>
    <t>BUL</t>
  </si>
  <si>
    <t>BKF</t>
  </si>
  <si>
    <t>BUR</t>
  </si>
  <si>
    <t>CMB</t>
  </si>
  <si>
    <t>CAM</t>
  </si>
  <si>
    <t>CAN</t>
  </si>
  <si>
    <t>CAR</t>
  </si>
  <si>
    <t>CHD</t>
  </si>
  <si>
    <t>CHL</t>
  </si>
  <si>
    <t>CHN</t>
  </si>
  <si>
    <t>COL</t>
  </si>
  <si>
    <t>CON</t>
  </si>
  <si>
    <t>COS</t>
  </si>
  <si>
    <t>CRO</t>
  </si>
  <si>
    <t>CUB</t>
  </si>
  <si>
    <t>CZE</t>
  </si>
  <si>
    <t>CZR</t>
  </si>
  <si>
    <t>DEN</t>
  </si>
  <si>
    <t>DOM</t>
  </si>
  <si>
    <t>ECU</t>
  </si>
  <si>
    <t>EGY</t>
  </si>
  <si>
    <t>ELS</t>
  </si>
  <si>
    <t>EQU</t>
  </si>
  <si>
    <t>ERT</t>
  </si>
  <si>
    <t>EST</t>
  </si>
  <si>
    <t>ETH</t>
  </si>
  <si>
    <t>FIN</t>
  </si>
  <si>
    <t>FRA</t>
  </si>
  <si>
    <t>GAB</t>
  </si>
  <si>
    <t>GAM</t>
  </si>
  <si>
    <t>GEO</t>
  </si>
  <si>
    <t>GER</t>
  </si>
  <si>
    <t>GME</t>
  </si>
  <si>
    <t>GHA</t>
  </si>
  <si>
    <t>GRE</t>
  </si>
  <si>
    <t>GUA</t>
  </si>
  <si>
    <t>GUI</t>
  </si>
  <si>
    <t>GNB</t>
  </si>
  <si>
    <t>GUY</t>
  </si>
  <si>
    <t>HAI</t>
  </si>
  <si>
    <t>HON</t>
  </si>
  <si>
    <t>HNK</t>
  </si>
  <si>
    <t>HUN</t>
  </si>
  <si>
    <t>ICE</t>
  </si>
  <si>
    <t>IND</t>
  </si>
  <si>
    <t>IDS</t>
  </si>
  <si>
    <t>IRN</t>
  </si>
  <si>
    <t>IRQ</t>
  </si>
  <si>
    <t>IRE</t>
  </si>
  <si>
    <t>ISR</t>
  </si>
  <si>
    <t>ITA</t>
  </si>
  <si>
    <t>IVO</t>
  </si>
  <si>
    <t>JAP</t>
  </si>
  <si>
    <t>JOR</t>
  </si>
  <si>
    <t>KAZ</t>
  </si>
  <si>
    <t>KEN</t>
  </si>
  <si>
    <t>KOR</t>
  </si>
  <si>
    <t>KRN</t>
  </si>
  <si>
    <t>KRS</t>
  </si>
  <si>
    <t>KUW</t>
  </si>
  <si>
    <t>KYR</t>
  </si>
  <si>
    <t>LAO</t>
  </si>
  <si>
    <t>LTV</t>
  </si>
  <si>
    <t>LEB</t>
  </si>
  <si>
    <t>LES</t>
  </si>
  <si>
    <t>LIB</t>
  </si>
  <si>
    <t>LBY</t>
  </si>
  <si>
    <t>LTH</t>
  </si>
  <si>
    <t>LUX</t>
  </si>
  <si>
    <t>MAC</t>
  </si>
  <si>
    <t>MAD</t>
  </si>
  <si>
    <t>MLW</t>
  </si>
  <si>
    <t>MLY</t>
  </si>
  <si>
    <t>MAL</t>
  </si>
  <si>
    <t>MAU</t>
  </si>
  <si>
    <t>MAS</t>
  </si>
  <si>
    <t>MEX</t>
  </si>
  <si>
    <t>MOL</t>
  </si>
  <si>
    <t>MON</t>
  </si>
  <si>
    <t>MNT</t>
  </si>
  <si>
    <t>MOR</t>
  </si>
  <si>
    <t>MOZ</t>
  </si>
  <si>
    <t>MYA</t>
  </si>
  <si>
    <t>NAM</t>
  </si>
  <si>
    <t>NEP</t>
  </si>
  <si>
    <t>NTH</t>
  </si>
  <si>
    <t>NEW</t>
  </si>
  <si>
    <t>NIC</t>
  </si>
  <si>
    <t>NIG</t>
  </si>
  <si>
    <t>NGA</t>
  </si>
  <si>
    <t>NOR</t>
  </si>
  <si>
    <t>OMA</t>
  </si>
  <si>
    <t>PAK</t>
  </si>
  <si>
    <t>PAN</t>
  </si>
  <si>
    <t>PNG</t>
  </si>
  <si>
    <t>PRG</t>
  </si>
  <si>
    <t>PER</t>
  </si>
  <si>
    <t>PHI</t>
  </si>
  <si>
    <t>POL</t>
  </si>
  <si>
    <t>POR</t>
  </si>
  <si>
    <t>ROM</t>
  </si>
  <si>
    <t>RUS</t>
  </si>
  <si>
    <t>RWA</t>
  </si>
  <si>
    <t>SAU</t>
  </si>
  <si>
    <t>SEN</t>
  </si>
  <si>
    <t>SER</t>
  </si>
  <si>
    <t>SBM</t>
  </si>
  <si>
    <t>SRL</t>
  </si>
  <si>
    <t>SNG</t>
  </si>
  <si>
    <t>SVK</t>
  </si>
  <si>
    <t>SVN</t>
  </si>
  <si>
    <t>SOM</t>
  </si>
  <si>
    <t>SAF</t>
  </si>
  <si>
    <t>SPA</t>
  </si>
  <si>
    <t>SRI</t>
  </si>
  <si>
    <t>SUD</t>
  </si>
  <si>
    <t>SRN</t>
  </si>
  <si>
    <t>SWA</t>
  </si>
  <si>
    <t>SWE</t>
  </si>
  <si>
    <t>SWZ</t>
  </si>
  <si>
    <t>SYR</t>
  </si>
  <si>
    <t>TAI</t>
  </si>
  <si>
    <t>TAJ</t>
  </si>
  <si>
    <t>TAN</t>
  </si>
  <si>
    <t>THA</t>
  </si>
  <si>
    <t>TOG</t>
  </si>
  <si>
    <t>TUN</t>
  </si>
  <si>
    <t>TUR</t>
  </si>
  <si>
    <t>TKM</t>
  </si>
  <si>
    <t>UAE</t>
  </si>
  <si>
    <t>UGA</t>
  </si>
  <si>
    <t>UKR</t>
  </si>
  <si>
    <t>UNK</t>
  </si>
  <si>
    <t>USA</t>
  </si>
  <si>
    <t>URG</t>
  </si>
  <si>
    <t>UZB</t>
  </si>
  <si>
    <t>VNZ</t>
  </si>
  <si>
    <t>VTM</t>
  </si>
  <si>
    <t>VTN</t>
  </si>
  <si>
    <t>VTS</t>
  </si>
  <si>
    <t>YEM</t>
  </si>
  <si>
    <t>YUG</t>
  </si>
  <si>
    <t>ZAI</t>
  </si>
  <si>
    <t>ZAM</t>
  </si>
  <si>
    <t>ZBW</t>
  </si>
  <si>
    <t>YPR</t>
  </si>
  <si>
    <t>ICH</t>
  </si>
  <si>
    <t>FGN</t>
  </si>
  <si>
    <t>no</t>
  </si>
  <si>
    <t>Technology</t>
  </si>
  <si>
    <t>All</t>
  </si>
  <si>
    <t>Aviation - Passengers</t>
  </si>
  <si>
    <t>Aviation - Freight</t>
  </si>
  <si>
    <t>Railways - Passengers</t>
  </si>
  <si>
    <t>Railways - Freight</t>
  </si>
  <si>
    <t>Cars</t>
  </si>
  <si>
    <t>Trucks</t>
  </si>
  <si>
    <t>Telephone</t>
  </si>
  <si>
    <t>Telegraph</t>
  </si>
  <si>
    <t>Internet</t>
  </si>
  <si>
    <t>Blast Oxygen Steel</t>
  </si>
  <si>
    <t>Electricity</t>
  </si>
  <si>
    <t>PCs</t>
  </si>
  <si>
    <t>Invention year</t>
  </si>
  <si>
    <t>Implausible</t>
  </si>
  <si>
    <t>Precise</t>
  </si>
  <si>
    <t>Imprecise</t>
  </si>
  <si>
    <t>Number of countries</t>
  </si>
  <si>
    <t>Mean</t>
  </si>
  <si>
    <t>Plausible</t>
  </si>
  <si>
    <t>Internet users</t>
  </si>
  <si>
    <t>Steam- and motorships</t>
  </si>
  <si>
    <t>Tigers</t>
  </si>
  <si>
    <t>GBR</t>
  </si>
  <si>
    <t>Latin</t>
  </si>
  <si>
    <t>SubSaharan</t>
  </si>
  <si>
    <t>OECD</t>
  </si>
  <si>
    <t>Group</t>
  </si>
  <si>
    <t>other</t>
  </si>
  <si>
    <t>dummyname</t>
  </si>
  <si>
    <t>value</t>
  </si>
  <si>
    <t>se</t>
  </si>
  <si>
    <t>t</t>
  </si>
  <si>
    <t>pvalue</t>
  </si>
  <si>
    <t>confidence int lower</t>
  </si>
  <si>
    <t>confidence int upper</t>
  </si>
  <si>
    <t>country</t>
  </si>
  <si>
    <t>Klenow mnemonic</t>
  </si>
  <si>
    <t>Lag fixed effect</t>
  </si>
  <si>
    <t>Average annual TFP growth rate</t>
  </si>
  <si>
    <t>TFP differential</t>
  </si>
  <si>
    <t>Cellphones</t>
  </si>
  <si>
    <t xml:space="preserve">MRI units    </t>
  </si>
  <si>
    <t>Blast oxygen</t>
  </si>
  <si>
    <t>Railways - freight</t>
  </si>
  <si>
    <t>Railways - passengers</t>
  </si>
  <si>
    <t>Telegrams</t>
  </si>
  <si>
    <t>Telephones</t>
  </si>
  <si>
    <t>Aviation - freight</t>
  </si>
  <si>
    <t>Aviation - passengers</t>
  </si>
  <si>
    <t>Number</t>
  </si>
  <si>
    <t>technology</t>
  </si>
  <si>
    <t>Inventionyear</t>
  </si>
  <si>
    <t>technology number</t>
  </si>
  <si>
    <t>fixed effect</t>
  </si>
  <si>
    <t>t-value</t>
  </si>
  <si>
    <t>p-value</t>
  </si>
  <si>
    <t>95-lower</t>
  </si>
  <si>
    <t>95-upper</t>
  </si>
  <si>
    <t>Fixed effect</t>
  </si>
  <si>
    <t>N</t>
  </si>
  <si>
    <t>mean</t>
  </si>
  <si>
    <t>sd</t>
  </si>
  <si>
    <t>p1</t>
  </si>
  <si>
    <t>p10</t>
  </si>
  <si>
    <t>p50</t>
  </si>
  <si>
    <t>p90</t>
  </si>
  <si>
    <t>p99</t>
  </si>
  <si>
    <t>Aviation_freight</t>
  </si>
  <si>
    <t>Aviation_passeng</t>
  </si>
  <si>
    <t>MRI</t>
  </si>
  <si>
    <t>Ships</t>
  </si>
  <si>
    <t>bof</t>
  </si>
  <si>
    <t>rail_freight</t>
  </si>
  <si>
    <t>rail_pass</t>
  </si>
  <si>
    <t>Total</t>
  </si>
  <si>
    <t>No</t>
  </si>
  <si>
    <t>Y/L    =  1985 RGDPW in Summers-Heston PWT 5.6.</t>
  </si>
  <si>
    <t>K/Y    =  1985 physical capital to output ratio (see text for Ky/Y used for BK2-BK4).</t>
  </si>
  <si>
    <t>H/Y    =  1985 human capital to output ratio (see text for Hy/Y used for BK4).</t>
  </si>
  <si>
    <t>A       =  1985 level of productivity (see equation 2 in the text).</t>
  </si>
  <si>
    <t>g(Z)    =  1960-1985 annual growth rate of series Z.</t>
  </si>
  <si>
    <t>Y/L</t>
  </si>
  <si>
    <t>K/Y</t>
  </si>
  <si>
    <t>H/Y</t>
  </si>
  <si>
    <t>A</t>
  </si>
  <si>
    <t>g(Y/L)</t>
  </si>
  <si>
    <t>g(K/Y)</t>
  </si>
  <si>
    <t>g(H/Y)</t>
  </si>
  <si>
    <t>g(A)</t>
  </si>
  <si>
    <t>ALGERIA</t>
  </si>
  <si>
    <t>BENIN</t>
  </si>
  <si>
    <t>BOTSWANA</t>
  </si>
  <si>
    <t>CAMEROON</t>
  </si>
  <si>
    <t>CENTRAL AFR.R.</t>
  </si>
  <si>
    <t>CONGO</t>
  </si>
  <si>
    <t>GAMBIA</t>
  </si>
  <si>
    <t>GHANA</t>
  </si>
  <si>
    <t>GUINEA-BISS</t>
  </si>
  <si>
    <t>KENYA</t>
  </si>
  <si>
    <t>LESOTHO</t>
  </si>
  <si>
    <t>LIBERIA</t>
  </si>
  <si>
    <t>MALAWI</t>
  </si>
  <si>
    <t>MALI</t>
  </si>
  <si>
    <t>MAURITIUS</t>
  </si>
  <si>
    <t>MOZAMBIQUE</t>
  </si>
  <si>
    <t>NIGER</t>
  </si>
  <si>
    <t>RWANDA</t>
  </si>
  <si>
    <t>SENEGAL</t>
  </si>
  <si>
    <t>SOUTH AFRICA</t>
  </si>
  <si>
    <t>SWAZILAND</t>
  </si>
  <si>
    <t>TANZANIA</t>
  </si>
  <si>
    <t>TOGO</t>
  </si>
  <si>
    <t>TUNISIA</t>
  </si>
  <si>
    <t>UGANDA</t>
  </si>
  <si>
    <t>ZAIRE</t>
  </si>
  <si>
    <t>ZAMBIA</t>
  </si>
  <si>
    <t>ZIMBABWE</t>
  </si>
  <si>
    <t>BARBADOS</t>
  </si>
  <si>
    <t>CANADA</t>
  </si>
  <si>
    <t>COSTA RICA</t>
  </si>
  <si>
    <t>DOMINICAN REP.</t>
  </si>
  <si>
    <t>EL SALVADOR</t>
  </si>
  <si>
    <t>GUATEMALA</t>
  </si>
  <si>
    <t>HAITI</t>
  </si>
  <si>
    <t>HONDURAS</t>
  </si>
  <si>
    <t>JAMAICA</t>
  </si>
  <si>
    <t>MEXICO</t>
  </si>
  <si>
    <t>NICARAGUA</t>
  </si>
  <si>
    <t>PANAMA</t>
  </si>
  <si>
    <t>TRINIDAD&amp;TOBAGO</t>
  </si>
  <si>
    <t>U.S.A.</t>
  </si>
  <si>
    <t>ARGENTINA</t>
  </si>
  <si>
    <t>BOLIVIA</t>
  </si>
  <si>
    <t>BRAZIL</t>
  </si>
  <si>
    <t>CHILE</t>
  </si>
  <si>
    <t>COLOMBIA</t>
  </si>
  <si>
    <t>ECUADOR</t>
  </si>
  <si>
    <t>GUYANA</t>
  </si>
  <si>
    <t>PARAGUAY</t>
  </si>
  <si>
    <t>PERU</t>
  </si>
  <si>
    <t>URUGUAY</t>
  </si>
  <si>
    <t>VENEZUELA</t>
  </si>
  <si>
    <t>BANGLADESH</t>
  </si>
  <si>
    <t>HONG KONG</t>
  </si>
  <si>
    <t>INDIA</t>
  </si>
  <si>
    <t>INDONESIA</t>
  </si>
  <si>
    <t>IRAN</t>
  </si>
  <si>
    <t>IRAQ</t>
  </si>
  <si>
    <t>ISRAEL</t>
  </si>
  <si>
    <t>JAPAN</t>
  </si>
  <si>
    <t>JORDAN</t>
  </si>
  <si>
    <t>KOREA, REP.</t>
  </si>
  <si>
    <t>MALAYSIA</t>
  </si>
  <si>
    <t>MYANMAR</t>
  </si>
  <si>
    <t>NEPAL</t>
  </si>
  <si>
    <t>PAKISTAN</t>
  </si>
  <si>
    <t>PHILIPPINES</t>
  </si>
  <si>
    <t>SINGAPORE</t>
  </si>
  <si>
    <t>SRI LANKA</t>
  </si>
  <si>
    <t>SYRIA</t>
  </si>
  <si>
    <t>TAIWAN</t>
  </si>
  <si>
    <t>THAILAND</t>
  </si>
  <si>
    <t>AUSTRIA</t>
  </si>
  <si>
    <t>BELGIUM</t>
  </si>
  <si>
    <t>CYPRUS</t>
  </si>
  <si>
    <t>DENMARK</t>
  </si>
  <si>
    <t>FINLAND</t>
  </si>
  <si>
    <t>FRANCE</t>
  </si>
  <si>
    <t>GERMANY, WEST</t>
  </si>
  <si>
    <t>GREECE</t>
  </si>
  <si>
    <t>ICELAND</t>
  </si>
  <si>
    <t>IRELAND</t>
  </si>
  <si>
    <t>ITALY</t>
  </si>
  <si>
    <t>MALTA</t>
  </si>
  <si>
    <t>NETHERLANDS</t>
  </si>
  <si>
    <t>NORWAY</t>
  </si>
  <si>
    <t>PORTUGAL</t>
  </si>
  <si>
    <t>SPAIN</t>
  </si>
  <si>
    <t>SWEDEN</t>
  </si>
  <si>
    <t>SWITZERLAND</t>
  </si>
  <si>
    <t>TURKEY</t>
  </si>
  <si>
    <t>U.K.</t>
  </si>
  <si>
    <t>YUGOSLAVIA</t>
  </si>
  <si>
    <t>AUSTRALIA</t>
  </si>
  <si>
    <t>FIJI</t>
  </si>
  <si>
    <t>NEW ZEALAND</t>
  </si>
  <si>
    <t>PAPUA N.GUINEA</t>
  </si>
  <si>
    <t>Mnemonic</t>
  </si>
  <si>
    <t>Algeria</t>
  </si>
  <si>
    <t>Angola</t>
  </si>
  <si>
    <t>Argentina</t>
  </si>
  <si>
    <t>Armenia</t>
  </si>
  <si>
    <t>Australia</t>
  </si>
  <si>
    <t>Austria</t>
  </si>
  <si>
    <t>Azerbaijan</t>
  </si>
  <si>
    <t>Bangladesh</t>
  </si>
  <si>
    <t>Belarus</t>
  </si>
  <si>
    <t>Belgium</t>
  </si>
  <si>
    <t>Belize</t>
  </si>
  <si>
    <t>Benin</t>
  </si>
  <si>
    <t>Bolivia</t>
  </si>
  <si>
    <t>Bosnia-Herzegovina</t>
  </si>
  <si>
    <t>Botswana</t>
  </si>
  <si>
    <t>Brazil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</si>
  <si>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</si>
  <si>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</si>
  <si>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</si>
  <si>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</si>
  <si>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</si>
  <si>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</si>
  <si>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</si>
  <si>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</si>
  <si>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</si>
  <si>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</si>
  <si>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</si>
  <si>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Republic of the Congo</t>
  </si>
  <si>
    <t>Costa Rica</t>
  </si>
  <si>
    <t>Croatia</t>
  </si>
  <si>
    <t>Cuba</t>
  </si>
  <si>
    <t>Czechoslovakia</t>
  </si>
  <si>
    <t>Czech Republic</t>
  </si>
  <si>
    <t>Denmark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</si>
  <si>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</si>
  <si>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</si>
  <si>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</si>
  <si>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</si>
  <si>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</si>
  <si>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</si>
  <si>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</si>
  <si>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</si>
  <si>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Finland</t>
  </si>
  <si>
    <t>France</t>
  </si>
  <si>
    <t>Gabon</t>
  </si>
  <si>
    <t>Gambia</t>
  </si>
  <si>
    <t>Georgia</t>
  </si>
  <si>
    <t>Germany</t>
  </si>
  <si>
    <t>East Germany</t>
  </si>
  <si>
    <t>Ghana</t>
  </si>
  <si>
    <t>Greece</t>
  </si>
  <si>
    <t>Guatemala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</si>
  <si>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</si>
  <si>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</si>
  <si>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</si>
  <si>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</si>
  <si>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</si>
  <si>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</si>
  <si>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</si>
  <si>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</si>
  <si>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</si>
  <si>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</si>
  <si>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</si>
  <si>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</si>
  <si>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</si>
  <si>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</si>
  <si>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</si>
  <si>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</t>
  </si>
  <si>
    <t>Japan</t>
  </si>
  <si>
    <t>Jordan</t>
  </si>
  <si>
    <t>Kazakhstan</t>
  </si>
  <si>
    <t>Kenya</t>
  </si>
  <si>
    <t>Korea</t>
  </si>
  <si>
    <t>North Korea</t>
  </si>
  <si>
    <t>South Korea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</si>
  <si>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</si>
  <si>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</si>
  <si>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</si>
  <si>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</si>
  <si>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</si>
  <si>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</si>
  <si>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</si>
  <si>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</si>
  <si>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Lithuania</t>
  </si>
  <si>
    <t>Luxembourg</t>
  </si>
  <si>
    <t>Macedonia</t>
  </si>
  <si>
    <t>Madagascar</t>
  </si>
  <si>
    <t>Malawi</t>
  </si>
  <si>
    <t>Malaysia</t>
  </si>
  <si>
    <t>Mali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</si>
  <si>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</si>
  <si>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</si>
  <si>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</si>
  <si>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</si>
  <si>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</si>
  <si>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</si>
  <si>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</si>
  <si>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</si>
  <si>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Burma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</si>
  <si>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</si>
  <si>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</si>
  <si>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</si>
  <si>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</si>
  <si>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</si>
  <si>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</si>
  <si>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</si>
  <si>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</si>
  <si>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</si>
  <si>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</si>
  <si>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Panama</t>
  </si>
  <si>
    <t>Papua New Guinea</t>
  </si>
  <si>
    <t>Paraguay</t>
  </si>
  <si>
    <t>Peru</t>
  </si>
  <si>
    <t>Philippines</t>
  </si>
  <si>
    <t>Poland</t>
  </si>
  <si>
    <t>Portugal</t>
  </si>
  <si>
    <t>Romania</t>
  </si>
  <si>
    <t>Russia</t>
  </si>
  <si>
    <t>Rwanda</t>
  </si>
  <si>
    <t>Saudi Arabia</t>
  </si>
  <si>
    <t>Senegal</t>
  </si>
  <si>
    <t>Serbia</t>
  </si>
  <si>
    <t>Serbia and Montenegro</t>
  </si>
  <si>
    <t>Sierra Leone</t>
  </si>
  <si>
    <t>Singapore</t>
  </si>
  <si>
    <t>Slovak Republic</t>
  </si>
  <si>
    <t>Slovenia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</si>
  <si>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</si>
  <si>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</si>
  <si>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</si>
  <si>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</si>
  <si>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</si>
  <si>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</si>
  <si>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</si>
  <si>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</si>
  <si>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</si>
  <si>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</si>
  <si>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</si>
  <si>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</si>
  <si>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</si>
  <si>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</si>
  <si>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</si>
  <si>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Tunisia</t>
  </si>
  <si>
    <t>Turkey</t>
  </si>
  <si>
    <t>Turkmenistan</t>
  </si>
  <si>
    <t>United Arab Emirates</t>
  </si>
  <si>
    <t>Uganda</t>
  </si>
  <si>
    <t>Ukraine</t>
  </si>
  <si>
    <t>United Kingdom</t>
  </si>
  <si>
    <t>United States</t>
  </si>
  <si>
    <t>Uruguay</t>
  </si>
  <si>
    <t>Uzbekistan</t>
  </si>
  <si>
    <t>Venezuela</t>
  </si>
  <si>
    <t>Vietnam</t>
  </si>
  <si>
    <t>North Vietnam</t>
  </si>
  <si>
    <t>South Vietnam</t>
  </si>
  <si>
    <t>Yemen</t>
  </si>
  <si>
    <t>Yugoslavia</t>
  </si>
  <si>
    <t>Democratic Republic of the Congo</t>
  </si>
  <si>
    <t>Zambia</t>
  </si>
  <si>
    <t>Zimbabwe</t>
  </si>
  <si>
    <t>South Yemen</t>
  </si>
  <si>
    <t>Indochina</t>
  </si>
  <si>
    <t>French Guiana</t>
  </si>
  <si>
    <t>K&amp;RC</t>
  </si>
  <si>
    <t>Technology adoption induced TFP differential</t>
  </si>
  <si>
    <t>Correlation</t>
  </si>
  <si>
    <t>Regression</t>
  </si>
  <si>
    <t>Based on Penn World Tables 6.2</t>
  </si>
  <si>
    <t>Additional development accounting data</t>
  </si>
  <si>
    <t>Population</t>
  </si>
  <si>
    <t>Real GDP per capita</t>
  </si>
  <si>
    <t>Real GDP per worker</t>
  </si>
  <si>
    <t>Capital per capita</t>
  </si>
  <si>
    <t>Capital per worker</t>
  </si>
  <si>
    <t>workers/per capita</t>
  </si>
  <si>
    <t>Average years of schooling</t>
  </si>
  <si>
    <t>Human capital - Hall and Jones</t>
  </si>
  <si>
    <t>isocode</t>
  </si>
  <si>
    <t>year</t>
  </si>
  <si>
    <t>POP</t>
  </si>
  <si>
    <t>rgdpch</t>
  </si>
  <si>
    <t>rgdpwok</t>
  </si>
  <si>
    <t>Kpch</t>
  </si>
  <si>
    <t>Kpwok</t>
  </si>
  <si>
    <t>wok/cap</t>
  </si>
  <si>
    <t>s</t>
  </si>
  <si>
    <t>H</t>
  </si>
  <si>
    <t>A (TFP)</t>
  </si>
  <si>
    <t>Included</t>
  </si>
  <si>
    <t>DZA</t>
  </si>
  <si>
    <t>AGO</t>
  </si>
  <si>
    <t>Antigua</t>
  </si>
  <si>
    <t>ATG</t>
  </si>
  <si>
    <t>AUT</t>
  </si>
  <si>
    <t>Bahamas</t>
  </si>
  <si>
    <t>BHS</t>
  </si>
  <si>
    <t>Bahrain</t>
  </si>
  <si>
    <t>BHR</t>
  </si>
  <si>
    <t>BGD</t>
  </si>
  <si>
    <t>Barbados</t>
  </si>
  <si>
    <t>BRB</t>
  </si>
  <si>
    <t>BLR</t>
  </si>
  <si>
    <t>Bermuda</t>
  </si>
  <si>
    <t>BMU</t>
  </si>
  <si>
    <t>Bhutan</t>
  </si>
  <si>
    <t>BTN</t>
  </si>
  <si>
    <t>Bosnia and Herzegovina</t>
  </si>
  <si>
    <t>BIH</t>
  </si>
  <si>
    <t>BWA</t>
  </si>
  <si>
    <t>Brunei</t>
  </si>
  <si>
    <t>BRN</t>
  </si>
  <si>
    <t>BGR</t>
  </si>
  <si>
    <t>BFA</t>
  </si>
  <si>
    <t>BDI</t>
  </si>
  <si>
    <t>KHM</t>
  </si>
  <si>
    <t>CMR</t>
  </si>
  <si>
    <t>Cape Verde</t>
  </si>
  <si>
    <t>CPV</t>
  </si>
  <si>
    <t>CAF</t>
  </si>
  <si>
    <t>TCD</t>
  </si>
  <si>
    <t>Comoros</t>
  </si>
  <si>
    <t>COM</t>
  </si>
  <si>
    <t>Congo, Dem. Rep.</t>
  </si>
  <si>
    <t>ZAR</t>
  </si>
  <si>
    <t>Congo, Republic of</t>
  </si>
  <si>
    <t>COG</t>
  </si>
  <si>
    <t>CRI</t>
  </si>
  <si>
    <t>Cote d`Ivoire</t>
  </si>
  <si>
    <t>CIV</t>
  </si>
  <si>
    <t>HRV</t>
  </si>
  <si>
    <t>Cyprus</t>
  </si>
  <si>
    <t>CYP</t>
  </si>
  <si>
    <t>DNK</t>
  </si>
  <si>
    <t>Djibouti</t>
  </si>
  <si>
    <t>DJI</t>
  </si>
  <si>
    <t>Dominica</t>
  </si>
  <si>
    <t>DMA</t>
  </si>
  <si>
    <t>SLV</t>
  </si>
  <si>
    <t>GNQ</t>
  </si>
  <si>
    <t>ERI</t>
  </si>
  <si>
    <t>Fiji</t>
  </si>
  <si>
    <t>FJI</t>
  </si>
  <si>
    <t>Gambia, The</t>
  </si>
  <si>
    <t>GMB</t>
  </si>
  <si>
    <t>GRC</t>
  </si>
  <si>
    <t>Grenada</t>
  </si>
  <si>
    <t>GRD</t>
  </si>
  <si>
    <t>GTM</t>
  </si>
  <si>
    <t>GIN</t>
  </si>
  <si>
    <t>HTI</t>
  </si>
  <si>
    <t>HND</t>
  </si>
  <si>
    <t>HKG</t>
  </si>
  <si>
    <t>ISL</t>
  </si>
  <si>
    <t>IDN</t>
  </si>
  <si>
    <t>IRL</t>
  </si>
  <si>
    <t>Jamaica</t>
  </si>
  <si>
    <t>JAM</t>
  </si>
  <si>
    <t>JPN</t>
  </si>
  <si>
    <t>Kiribati</t>
  </si>
  <si>
    <t>KIR</t>
  </si>
  <si>
    <t>Korea, Dem. Rep.</t>
  </si>
  <si>
    <t>PRK</t>
  </si>
  <si>
    <t>Korea, Republic of</t>
  </si>
  <si>
    <t>KWT</t>
  </si>
  <si>
    <t>KGZ</t>
  </si>
  <si>
    <t>LVA</t>
  </si>
  <si>
    <t>LBN</t>
  </si>
  <si>
    <t>LSO</t>
  </si>
  <si>
    <t>LBR</t>
  </si>
  <si>
    <t>LTU</t>
  </si>
  <si>
    <t>Macao</t>
  </si>
  <si>
    <t>MKD</t>
  </si>
  <si>
    <t>MDG</t>
  </si>
  <si>
    <t>MWI</t>
  </si>
  <si>
    <t>MYS</t>
  </si>
  <si>
    <t>Maldives</t>
  </si>
  <si>
    <t>MDV</t>
  </si>
  <si>
    <t>MLI</t>
  </si>
  <si>
    <t>Malta</t>
  </si>
  <si>
    <t>MLT</t>
  </si>
  <si>
    <t>MRT</t>
  </si>
  <si>
    <t>MUS</t>
  </si>
  <si>
    <t>Micronesia, Fed. Sts.</t>
  </si>
  <si>
    <t>FSM</t>
  </si>
  <si>
    <t>MDA</t>
  </si>
  <si>
    <t>MNG</t>
  </si>
  <si>
    <t>MAR</t>
  </si>
  <si>
    <t>NPL</t>
  </si>
  <si>
    <t>NLD</t>
  </si>
  <si>
    <t>Netherlands Antilles</t>
  </si>
  <si>
    <t>ANT</t>
  </si>
  <si>
    <t>NZL</t>
  </si>
  <si>
    <t>NER</t>
  </si>
  <si>
    <t>OMN</t>
  </si>
  <si>
    <t>Palau</t>
  </si>
  <si>
    <t>PLW</t>
  </si>
  <si>
    <t>PRY</t>
  </si>
  <si>
    <t>PHL</t>
  </si>
  <si>
    <t>PRT</t>
  </si>
  <si>
    <t>Puerto Rico</t>
  </si>
  <si>
    <t>PRI</t>
  </si>
  <si>
    <t>Qatar</t>
  </si>
  <si>
    <t>QAT</t>
  </si>
  <si>
    <t>Samoa</t>
  </si>
  <si>
    <t>WSM</t>
  </si>
  <si>
    <t>Sao Tome and Principe</t>
  </si>
  <si>
    <t>STP</t>
  </si>
  <si>
    <t>SCG</t>
  </si>
  <si>
    <t>Seychelles</t>
  </si>
  <si>
    <t>SYC</t>
  </si>
  <si>
    <t>SLE</t>
  </si>
  <si>
    <t>SGP</t>
  </si>
  <si>
    <t>Solomon Islands</t>
  </si>
  <si>
    <t>SLB</t>
  </si>
  <si>
    <t>ZAF</t>
  </si>
  <si>
    <t>ESP</t>
  </si>
  <si>
    <t>LKA</t>
  </si>
  <si>
    <t>St. Kitts &amp; Nevis</t>
  </si>
  <si>
    <t>KNA</t>
  </si>
  <si>
    <t>St. Lucia</t>
  </si>
  <si>
    <t>LCA</t>
  </si>
  <si>
    <t>St.Vincent &amp; Grenadines</t>
  </si>
  <si>
    <t>VCT</t>
  </si>
  <si>
    <t>SDN</t>
  </si>
  <si>
    <t>SUR</t>
  </si>
  <si>
    <t>CHE</t>
  </si>
  <si>
    <t>TWN</t>
  </si>
  <si>
    <t>TJK</t>
  </si>
  <si>
    <t>TZA</t>
  </si>
  <si>
    <t>TGO</t>
  </si>
  <si>
    <t>Tonga</t>
  </si>
  <si>
    <t>TON</t>
  </si>
  <si>
    <t>Trinidad &amp;Tobago</t>
  </si>
  <si>
    <t>TTO</t>
  </si>
  <si>
    <t>ARE</t>
  </si>
  <si>
    <t>URY</t>
  </si>
  <si>
    <t>Vanuatu</t>
  </si>
  <si>
    <t>VUT</t>
  </si>
  <si>
    <t>VEN</t>
  </si>
  <si>
    <t>VNM</t>
  </si>
  <si>
    <t>ZMB</t>
  </si>
  <si>
    <t>ZWE</t>
  </si>
  <si>
    <t>Per capita GDP</t>
  </si>
  <si>
    <t>H&amp;J 2000</t>
  </si>
  <si>
    <t>Correlation between TFPs</t>
  </si>
  <si>
    <t>fitted HJ 2000</t>
  </si>
  <si>
    <t>fitted KRC</t>
  </si>
  <si>
    <t>Correlation between tech and GDP</t>
  </si>
  <si>
    <t>Aviation_passengers</t>
  </si>
  <si>
    <t>Comment: (1) plausible, (-1) plausible but imprecise (-2) imprecise</t>
  </si>
  <si>
    <t>number</t>
  </si>
  <si>
    <t>stdev</t>
  </si>
  <si>
    <t>R&gt;0</t>
  </si>
  <si>
    <t>&gt;0</t>
  </si>
  <si>
    <t>&lt;0</t>
  </si>
  <si>
    <t xml:space="preserve">GBR </t>
  </si>
  <si>
    <t>Asian Tigers</t>
  </si>
  <si>
    <t>Latin America</t>
  </si>
  <si>
    <t>Sub-Saharan Africa</t>
  </si>
  <si>
    <t>Other</t>
  </si>
  <si>
    <t>Adoption Lags</t>
  </si>
  <si>
    <t>R-squareds</t>
  </si>
  <si>
    <t>Country effect</t>
  </si>
  <si>
    <t>Technology effect</t>
  </si>
  <si>
    <t>Country effect alone</t>
  </si>
  <si>
    <t>Joint effect</t>
  </si>
  <si>
    <t>Residual sum of squares</t>
  </si>
  <si>
    <t>Total sum of squares</t>
  </si>
  <si>
    <t>Model SS</t>
  </si>
  <si>
    <t>in levels</t>
  </si>
  <si>
    <t>GDP part</t>
  </si>
  <si>
    <t>GDP relative to US</t>
  </si>
  <si>
    <t>correlation of lag with GDP</t>
  </si>
  <si>
    <t>correlation of lag with TFP</t>
  </si>
  <si>
    <t>Regression GDP part of lags on 2000 GDP levels</t>
  </si>
  <si>
    <t>fitted GDP</t>
  </si>
  <si>
    <t>MRIs</t>
  </si>
  <si>
    <t>japan</t>
  </si>
  <si>
    <t>Japan fitted</t>
  </si>
  <si>
    <t>US actual</t>
  </si>
  <si>
    <t>US fitted</t>
  </si>
  <si>
    <t>Japan actual</t>
  </si>
  <si>
    <t>Argentina actual</t>
  </si>
  <si>
    <t>Argentina fitted</t>
  </si>
  <si>
    <t>Note: Fixed effects are adjusted to have same average as means</t>
  </si>
  <si>
    <t>technologyname</t>
  </si>
  <si>
    <t>techsp~s</t>
  </si>
  <si>
    <t>totall~r</t>
  </si>
  <si>
    <t>bigenough sample</t>
  </si>
  <si>
    <t>plausible and precise</t>
  </si>
  <si>
    <t>plausible and precise and null not rejected at 5%</t>
  </si>
  <si>
    <t>r precise, u precise</t>
  </si>
  <si>
    <t>r precise, u not</t>
  </si>
  <si>
    <t>r not, u precise</t>
  </si>
  <si>
    <t>fraction not rejected</t>
  </si>
  <si>
    <t>Fraction of precise estimates for which null not rejected at 5%</t>
  </si>
  <si>
    <t>Correlation of adoption lags under restricted and unrestricted specifications</t>
  </si>
  <si>
    <t>R squared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</si>
</sst>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Courier"/>
      <family val="3"/>
    </font>
    <font>
      <u/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0" borderId="0" xfId="0" applyFont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4" fillId="0" borderId="0" xfId="0" applyFont="1"/>
    <xf numFmtId="3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2" fontId="0" fillId="0" borderId="0" xfId="0" applyNumberFormat="1"/>
    <xf numFmtId="2" fontId="0" fillId="0" borderId="0" xfId="0" applyNumberFormat="1" applyAlignment="1">
      <alignment horizontal="right"/>
    </xf>
    <xf numFmtId="1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B451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chartsheet" Target="chartsheets/sheet6.xml"/><Relationship Id="rId18" Type="http://schemas.openxmlformats.org/officeDocument/2006/relationships/worksheet" Target="worksheets/sheet11.xml"/><Relationship Id="rId26" Type="http://schemas.openxmlformats.org/officeDocument/2006/relationships/worksheet" Target="worksheets/sheet1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4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5.xml"/><Relationship Id="rId17" Type="http://schemas.openxmlformats.org/officeDocument/2006/relationships/worksheet" Target="worksheets/sheet10.xml"/><Relationship Id="rId25" Type="http://schemas.openxmlformats.org/officeDocument/2006/relationships/worksheet" Target="worksheets/sheet18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9.xml"/><Relationship Id="rId20" Type="http://schemas.openxmlformats.org/officeDocument/2006/relationships/worksheet" Target="worksheets/sheet13.xml"/><Relationship Id="rId29" Type="http://schemas.openxmlformats.org/officeDocument/2006/relationships/worksheet" Target="worksheets/sheet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4.xml"/><Relationship Id="rId24" Type="http://schemas.openxmlformats.org/officeDocument/2006/relationships/worksheet" Target="worksheets/sheet17.xml"/><Relationship Id="rId32" Type="http://schemas.openxmlformats.org/officeDocument/2006/relationships/worksheet" Target="worksheets/sheet25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8.xml"/><Relationship Id="rId23" Type="http://schemas.openxmlformats.org/officeDocument/2006/relationships/worksheet" Target="worksheets/sheet16.xml"/><Relationship Id="rId28" Type="http://schemas.openxmlformats.org/officeDocument/2006/relationships/worksheet" Target="worksheets/sheet21.xml"/><Relationship Id="rId36" Type="http://schemas.openxmlformats.org/officeDocument/2006/relationships/calcChain" Target="calcChain.xml"/><Relationship Id="rId10" Type="http://schemas.openxmlformats.org/officeDocument/2006/relationships/chartsheet" Target="chartsheets/sheet3.xml"/><Relationship Id="rId19" Type="http://schemas.openxmlformats.org/officeDocument/2006/relationships/worksheet" Target="worksheets/sheet12.xml"/><Relationship Id="rId31" Type="http://schemas.openxmlformats.org/officeDocument/2006/relationships/worksheet" Target="worksheets/sheet2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chartsheet" Target="chartsheets/sheet7.xml"/><Relationship Id="rId22" Type="http://schemas.openxmlformats.org/officeDocument/2006/relationships/worksheet" Target="worksheets/sheet15.xml"/><Relationship Id="rId27" Type="http://schemas.openxmlformats.org/officeDocument/2006/relationships/worksheet" Target="worksheets/sheet20.xml"/><Relationship Id="rId30" Type="http://schemas.openxmlformats.org/officeDocument/2006/relationships/worksheet" Target="worksheets/sheet23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1297862838562421E-2"/>
          <c:y val="2.2406119294525566E-2"/>
          <c:w val="0.87647678390513151"/>
          <c:h val="0.91204388104712319"/>
        </c:manualLayout>
      </c:layout>
      <c:scatterChart>
        <c:scatterStyle val="lineMarker"/>
        <c:ser>
          <c:idx val="0"/>
          <c:order val="0"/>
          <c:tx>
            <c:strRef>
              <c:f>'Example data'!$B$1</c:f>
              <c:strCache>
                <c:ptCount val="1"/>
                <c:pt idx="0">
                  <c:v>Japan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'Example data'!$A$2:$A$218</c:f>
              <c:numCache>
                <c:formatCode>General</c:formatCode>
                <c:ptCount val="217"/>
                <c:pt idx="0">
                  <c:v>1788</c:v>
                </c:pt>
                <c:pt idx="1">
                  <c:v>1789</c:v>
                </c:pt>
                <c:pt idx="2">
                  <c:v>1790</c:v>
                </c:pt>
                <c:pt idx="3">
                  <c:v>1791</c:v>
                </c:pt>
                <c:pt idx="4">
                  <c:v>1792</c:v>
                </c:pt>
                <c:pt idx="5">
                  <c:v>1793</c:v>
                </c:pt>
                <c:pt idx="6">
                  <c:v>1794</c:v>
                </c:pt>
                <c:pt idx="7">
                  <c:v>1795</c:v>
                </c:pt>
                <c:pt idx="8">
                  <c:v>1796</c:v>
                </c:pt>
                <c:pt idx="9">
                  <c:v>1797</c:v>
                </c:pt>
                <c:pt idx="10">
                  <c:v>1798</c:v>
                </c:pt>
                <c:pt idx="11">
                  <c:v>1799</c:v>
                </c:pt>
                <c:pt idx="12">
                  <c:v>1800</c:v>
                </c:pt>
                <c:pt idx="13">
                  <c:v>1801</c:v>
                </c:pt>
                <c:pt idx="14">
                  <c:v>1802</c:v>
                </c:pt>
                <c:pt idx="15">
                  <c:v>1803</c:v>
                </c:pt>
                <c:pt idx="16">
                  <c:v>1804</c:v>
                </c:pt>
                <c:pt idx="17">
                  <c:v>1805</c:v>
                </c:pt>
                <c:pt idx="18">
                  <c:v>1806</c:v>
                </c:pt>
                <c:pt idx="19">
                  <c:v>1807</c:v>
                </c:pt>
                <c:pt idx="20">
                  <c:v>1808</c:v>
                </c:pt>
                <c:pt idx="21">
                  <c:v>1809</c:v>
                </c:pt>
                <c:pt idx="22">
                  <c:v>1810</c:v>
                </c:pt>
                <c:pt idx="23">
                  <c:v>1811</c:v>
                </c:pt>
                <c:pt idx="24">
                  <c:v>1812</c:v>
                </c:pt>
                <c:pt idx="25">
                  <c:v>1813</c:v>
                </c:pt>
                <c:pt idx="26">
                  <c:v>1814</c:v>
                </c:pt>
                <c:pt idx="27">
                  <c:v>1815</c:v>
                </c:pt>
                <c:pt idx="28">
                  <c:v>1816</c:v>
                </c:pt>
                <c:pt idx="29">
                  <c:v>1817</c:v>
                </c:pt>
                <c:pt idx="30">
                  <c:v>1818</c:v>
                </c:pt>
                <c:pt idx="31">
                  <c:v>1819</c:v>
                </c:pt>
                <c:pt idx="32">
                  <c:v>1820</c:v>
                </c:pt>
                <c:pt idx="33">
                  <c:v>1821</c:v>
                </c:pt>
                <c:pt idx="34">
                  <c:v>1822</c:v>
                </c:pt>
                <c:pt idx="35">
                  <c:v>1823</c:v>
                </c:pt>
                <c:pt idx="36">
                  <c:v>1824</c:v>
                </c:pt>
                <c:pt idx="37">
                  <c:v>1825</c:v>
                </c:pt>
                <c:pt idx="38">
                  <c:v>1826</c:v>
                </c:pt>
                <c:pt idx="39">
                  <c:v>1827</c:v>
                </c:pt>
                <c:pt idx="40">
                  <c:v>1828</c:v>
                </c:pt>
                <c:pt idx="41">
                  <c:v>1829</c:v>
                </c:pt>
                <c:pt idx="42">
                  <c:v>1830</c:v>
                </c:pt>
                <c:pt idx="43">
                  <c:v>1831</c:v>
                </c:pt>
                <c:pt idx="44">
                  <c:v>1832</c:v>
                </c:pt>
                <c:pt idx="45">
                  <c:v>1833</c:v>
                </c:pt>
                <c:pt idx="46">
                  <c:v>1834</c:v>
                </c:pt>
                <c:pt idx="47">
                  <c:v>1835</c:v>
                </c:pt>
                <c:pt idx="48">
                  <c:v>1836</c:v>
                </c:pt>
                <c:pt idx="49">
                  <c:v>1837</c:v>
                </c:pt>
                <c:pt idx="50">
                  <c:v>1838</c:v>
                </c:pt>
                <c:pt idx="51">
                  <c:v>1839</c:v>
                </c:pt>
                <c:pt idx="52">
                  <c:v>1840</c:v>
                </c:pt>
                <c:pt idx="53">
                  <c:v>1841</c:v>
                </c:pt>
                <c:pt idx="54">
                  <c:v>1842</c:v>
                </c:pt>
                <c:pt idx="55">
                  <c:v>1843</c:v>
                </c:pt>
                <c:pt idx="56">
                  <c:v>1844</c:v>
                </c:pt>
                <c:pt idx="57">
                  <c:v>1845</c:v>
                </c:pt>
                <c:pt idx="58">
                  <c:v>1846</c:v>
                </c:pt>
                <c:pt idx="59">
                  <c:v>1847</c:v>
                </c:pt>
                <c:pt idx="60">
                  <c:v>1848</c:v>
                </c:pt>
                <c:pt idx="61">
                  <c:v>1849</c:v>
                </c:pt>
                <c:pt idx="62">
                  <c:v>1850</c:v>
                </c:pt>
                <c:pt idx="63">
                  <c:v>1851</c:v>
                </c:pt>
                <c:pt idx="64">
                  <c:v>1852</c:v>
                </c:pt>
                <c:pt idx="65">
                  <c:v>1853</c:v>
                </c:pt>
                <c:pt idx="66">
                  <c:v>1854</c:v>
                </c:pt>
                <c:pt idx="67">
                  <c:v>1855</c:v>
                </c:pt>
                <c:pt idx="68">
                  <c:v>1856</c:v>
                </c:pt>
                <c:pt idx="69">
                  <c:v>1857</c:v>
                </c:pt>
                <c:pt idx="70">
                  <c:v>1858</c:v>
                </c:pt>
                <c:pt idx="71">
                  <c:v>1859</c:v>
                </c:pt>
                <c:pt idx="72">
                  <c:v>1860</c:v>
                </c:pt>
                <c:pt idx="73">
                  <c:v>1861</c:v>
                </c:pt>
                <c:pt idx="74">
                  <c:v>1862</c:v>
                </c:pt>
                <c:pt idx="75">
                  <c:v>1863</c:v>
                </c:pt>
                <c:pt idx="76">
                  <c:v>1864</c:v>
                </c:pt>
                <c:pt idx="77">
                  <c:v>1865</c:v>
                </c:pt>
                <c:pt idx="78">
                  <c:v>1866</c:v>
                </c:pt>
                <c:pt idx="79">
                  <c:v>1867</c:v>
                </c:pt>
                <c:pt idx="80">
                  <c:v>1868</c:v>
                </c:pt>
                <c:pt idx="81">
                  <c:v>1869</c:v>
                </c:pt>
                <c:pt idx="82">
                  <c:v>1870</c:v>
                </c:pt>
                <c:pt idx="83">
                  <c:v>1871</c:v>
                </c:pt>
                <c:pt idx="84">
                  <c:v>1872</c:v>
                </c:pt>
                <c:pt idx="85">
                  <c:v>1873</c:v>
                </c:pt>
                <c:pt idx="86">
                  <c:v>1874</c:v>
                </c:pt>
                <c:pt idx="87">
                  <c:v>1875</c:v>
                </c:pt>
                <c:pt idx="88">
                  <c:v>1876</c:v>
                </c:pt>
                <c:pt idx="89">
                  <c:v>1877</c:v>
                </c:pt>
                <c:pt idx="90">
                  <c:v>1878</c:v>
                </c:pt>
                <c:pt idx="91">
                  <c:v>1879</c:v>
                </c:pt>
                <c:pt idx="92">
                  <c:v>1880</c:v>
                </c:pt>
                <c:pt idx="93">
                  <c:v>1881</c:v>
                </c:pt>
                <c:pt idx="94">
                  <c:v>1882</c:v>
                </c:pt>
                <c:pt idx="95">
                  <c:v>1883</c:v>
                </c:pt>
                <c:pt idx="96">
                  <c:v>1884</c:v>
                </c:pt>
                <c:pt idx="97">
                  <c:v>1885</c:v>
                </c:pt>
                <c:pt idx="98">
                  <c:v>1886</c:v>
                </c:pt>
                <c:pt idx="99">
                  <c:v>1887</c:v>
                </c:pt>
                <c:pt idx="100">
                  <c:v>1888</c:v>
                </c:pt>
                <c:pt idx="101">
                  <c:v>1889</c:v>
                </c:pt>
                <c:pt idx="102">
                  <c:v>1890</c:v>
                </c:pt>
                <c:pt idx="103">
                  <c:v>1891</c:v>
                </c:pt>
                <c:pt idx="104">
                  <c:v>1892</c:v>
                </c:pt>
                <c:pt idx="105">
                  <c:v>1893</c:v>
                </c:pt>
                <c:pt idx="106">
                  <c:v>1894</c:v>
                </c:pt>
                <c:pt idx="107">
                  <c:v>1895</c:v>
                </c:pt>
                <c:pt idx="108">
                  <c:v>1896</c:v>
                </c:pt>
                <c:pt idx="109">
                  <c:v>1897</c:v>
                </c:pt>
                <c:pt idx="110">
                  <c:v>1898</c:v>
                </c:pt>
                <c:pt idx="111">
                  <c:v>1899</c:v>
                </c:pt>
                <c:pt idx="112">
                  <c:v>1900</c:v>
                </c:pt>
                <c:pt idx="113">
                  <c:v>1901</c:v>
                </c:pt>
                <c:pt idx="114">
                  <c:v>1902</c:v>
                </c:pt>
                <c:pt idx="115">
                  <c:v>1903</c:v>
                </c:pt>
                <c:pt idx="116">
                  <c:v>1904</c:v>
                </c:pt>
                <c:pt idx="117">
                  <c:v>1905</c:v>
                </c:pt>
                <c:pt idx="118">
                  <c:v>1906</c:v>
                </c:pt>
                <c:pt idx="119">
                  <c:v>1907</c:v>
                </c:pt>
                <c:pt idx="120">
                  <c:v>1908</c:v>
                </c:pt>
                <c:pt idx="121">
                  <c:v>1909</c:v>
                </c:pt>
                <c:pt idx="122">
                  <c:v>1910</c:v>
                </c:pt>
                <c:pt idx="123">
                  <c:v>1911</c:v>
                </c:pt>
                <c:pt idx="124">
                  <c:v>1912</c:v>
                </c:pt>
                <c:pt idx="125">
                  <c:v>1913</c:v>
                </c:pt>
                <c:pt idx="126">
                  <c:v>1914</c:v>
                </c:pt>
                <c:pt idx="127">
                  <c:v>1915</c:v>
                </c:pt>
                <c:pt idx="128">
                  <c:v>1916</c:v>
                </c:pt>
                <c:pt idx="129">
                  <c:v>1917</c:v>
                </c:pt>
                <c:pt idx="130">
                  <c:v>1918</c:v>
                </c:pt>
                <c:pt idx="131">
                  <c:v>1919</c:v>
                </c:pt>
                <c:pt idx="132">
                  <c:v>1920</c:v>
                </c:pt>
                <c:pt idx="133">
                  <c:v>1921</c:v>
                </c:pt>
                <c:pt idx="134">
                  <c:v>1922</c:v>
                </c:pt>
                <c:pt idx="135">
                  <c:v>1923</c:v>
                </c:pt>
                <c:pt idx="136">
                  <c:v>1924</c:v>
                </c:pt>
                <c:pt idx="137">
                  <c:v>1925</c:v>
                </c:pt>
                <c:pt idx="138">
                  <c:v>1926</c:v>
                </c:pt>
                <c:pt idx="139">
                  <c:v>1927</c:v>
                </c:pt>
                <c:pt idx="140">
                  <c:v>1928</c:v>
                </c:pt>
                <c:pt idx="141">
                  <c:v>1929</c:v>
                </c:pt>
                <c:pt idx="142">
                  <c:v>1930</c:v>
                </c:pt>
                <c:pt idx="143">
                  <c:v>1931</c:v>
                </c:pt>
                <c:pt idx="144">
                  <c:v>1932</c:v>
                </c:pt>
                <c:pt idx="145">
                  <c:v>1933</c:v>
                </c:pt>
                <c:pt idx="146">
                  <c:v>1934</c:v>
                </c:pt>
                <c:pt idx="147">
                  <c:v>1935</c:v>
                </c:pt>
                <c:pt idx="148">
                  <c:v>1936</c:v>
                </c:pt>
                <c:pt idx="149">
                  <c:v>1937</c:v>
                </c:pt>
                <c:pt idx="150">
                  <c:v>1938</c:v>
                </c:pt>
                <c:pt idx="151">
                  <c:v>1939</c:v>
                </c:pt>
                <c:pt idx="152">
                  <c:v>1940</c:v>
                </c:pt>
                <c:pt idx="153">
                  <c:v>1941</c:v>
                </c:pt>
                <c:pt idx="154">
                  <c:v>1942</c:v>
                </c:pt>
                <c:pt idx="155">
                  <c:v>1943</c:v>
                </c:pt>
                <c:pt idx="156">
                  <c:v>1944</c:v>
                </c:pt>
                <c:pt idx="157">
                  <c:v>1945</c:v>
                </c:pt>
                <c:pt idx="158">
                  <c:v>1946</c:v>
                </c:pt>
                <c:pt idx="159">
                  <c:v>1947</c:v>
                </c:pt>
                <c:pt idx="160">
                  <c:v>1948</c:v>
                </c:pt>
                <c:pt idx="161">
                  <c:v>1949</c:v>
                </c:pt>
                <c:pt idx="162">
                  <c:v>1950</c:v>
                </c:pt>
                <c:pt idx="163">
                  <c:v>1951</c:v>
                </c:pt>
                <c:pt idx="164">
                  <c:v>1952</c:v>
                </c:pt>
                <c:pt idx="165">
                  <c:v>1953</c:v>
                </c:pt>
                <c:pt idx="166">
                  <c:v>1954</c:v>
                </c:pt>
                <c:pt idx="167">
                  <c:v>1955</c:v>
                </c:pt>
                <c:pt idx="168">
                  <c:v>1956</c:v>
                </c:pt>
                <c:pt idx="169">
                  <c:v>1957</c:v>
                </c:pt>
                <c:pt idx="170">
                  <c:v>1958</c:v>
                </c:pt>
                <c:pt idx="171">
                  <c:v>1959</c:v>
                </c:pt>
                <c:pt idx="172">
                  <c:v>1960</c:v>
                </c:pt>
                <c:pt idx="173">
                  <c:v>1961</c:v>
                </c:pt>
                <c:pt idx="174">
                  <c:v>1962</c:v>
                </c:pt>
                <c:pt idx="175">
                  <c:v>1963</c:v>
                </c:pt>
                <c:pt idx="176">
                  <c:v>1964</c:v>
                </c:pt>
                <c:pt idx="177">
                  <c:v>1965</c:v>
                </c:pt>
                <c:pt idx="178">
                  <c:v>1966</c:v>
                </c:pt>
                <c:pt idx="179">
                  <c:v>1967</c:v>
                </c:pt>
                <c:pt idx="180">
                  <c:v>1968</c:v>
                </c:pt>
                <c:pt idx="181">
                  <c:v>1969</c:v>
                </c:pt>
                <c:pt idx="182">
                  <c:v>1970</c:v>
                </c:pt>
                <c:pt idx="183">
                  <c:v>1971</c:v>
                </c:pt>
                <c:pt idx="184">
                  <c:v>1972</c:v>
                </c:pt>
                <c:pt idx="185">
                  <c:v>1973</c:v>
                </c:pt>
                <c:pt idx="186">
                  <c:v>1974</c:v>
                </c:pt>
                <c:pt idx="187">
                  <c:v>1975</c:v>
                </c:pt>
                <c:pt idx="188">
                  <c:v>1976</c:v>
                </c:pt>
                <c:pt idx="189">
                  <c:v>1977</c:v>
                </c:pt>
                <c:pt idx="190">
                  <c:v>1978</c:v>
                </c:pt>
                <c:pt idx="191">
                  <c:v>1979</c:v>
                </c:pt>
                <c:pt idx="192">
                  <c:v>1980</c:v>
                </c:pt>
                <c:pt idx="193">
                  <c:v>1981</c:v>
                </c:pt>
                <c:pt idx="194">
                  <c:v>1982</c:v>
                </c:pt>
                <c:pt idx="195">
                  <c:v>1983</c:v>
                </c:pt>
                <c:pt idx="196">
                  <c:v>1984</c:v>
                </c:pt>
                <c:pt idx="197">
                  <c:v>1985</c:v>
                </c:pt>
                <c:pt idx="198">
                  <c:v>1986</c:v>
                </c:pt>
                <c:pt idx="199">
                  <c:v>1987</c:v>
                </c:pt>
                <c:pt idx="200">
                  <c:v>1988</c:v>
                </c:pt>
                <c:pt idx="201">
                  <c:v>1989</c:v>
                </c:pt>
                <c:pt idx="202">
                  <c:v>1990</c:v>
                </c:pt>
                <c:pt idx="203">
                  <c:v>1991</c:v>
                </c:pt>
                <c:pt idx="204">
                  <c:v>1992</c:v>
                </c:pt>
                <c:pt idx="205">
                  <c:v>1993</c:v>
                </c:pt>
                <c:pt idx="206">
                  <c:v>1994</c:v>
                </c:pt>
                <c:pt idx="207">
                  <c:v>1995</c:v>
                </c:pt>
                <c:pt idx="208">
                  <c:v>1996</c:v>
                </c:pt>
                <c:pt idx="209">
                  <c:v>1997</c:v>
                </c:pt>
                <c:pt idx="210">
                  <c:v>1998</c:v>
                </c:pt>
                <c:pt idx="211">
                  <c:v>1999</c:v>
                </c:pt>
                <c:pt idx="212">
                  <c:v>2000</c:v>
                </c:pt>
                <c:pt idx="213">
                  <c:v>2001</c:v>
                </c:pt>
                <c:pt idx="214">
                  <c:v>2002</c:v>
                </c:pt>
                <c:pt idx="215">
                  <c:v>2003</c:v>
                </c:pt>
                <c:pt idx="216">
                  <c:v>2004</c:v>
                </c:pt>
              </c:numCache>
            </c:numRef>
          </c:xVal>
          <c:yVal>
            <c:numRef>
              <c:f>'Example data'!$B$2:$B$218</c:f>
              <c:numCache>
                <c:formatCode>General</c:formatCode>
                <c:ptCount val="2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19.439530000000001</c:v>
                </c:pt>
                <c:pt idx="120">
                  <c:v>19.745100000000001</c:v>
                </c:pt>
                <c:pt idx="121">
                  <c:v>19.902280000000001</c:v>
                </c:pt>
                <c:pt idx="122">
                  <c:v>20.246839999999999</c:v>
                </c:pt>
                <c:pt idx="123">
                  <c:v>20.482469999999999</c:v>
                </c:pt>
                <c:pt idx="124">
                  <c:v>20.854289999999999</c:v>
                </c:pt>
                <c:pt idx="125">
                  <c:v>21.122039999999998</c:v>
                </c:pt>
                <c:pt idx="126">
                  <c:v>21.305479999999999</c:v>
                </c:pt>
                <c:pt idx="127">
                  <c:v>21.520769999999999</c:v>
                </c:pt>
                <c:pt idx="128">
                  <c:v>21.671050000000001</c:v>
                </c:pt>
                <c:pt idx="129">
                  <c:v>21.848199999999999</c:v>
                </c:pt>
                <c:pt idx="130">
                  <c:v>22.017990000000001</c:v>
                </c:pt>
                <c:pt idx="131">
                  <c:v>22.15597</c:v>
                </c:pt>
                <c:pt idx="132">
                  <c:v>22.264430000000001</c:v>
                </c:pt>
                <c:pt idx="133">
                  <c:v>22.354469999999999</c:v>
                </c:pt>
                <c:pt idx="134">
                  <c:v>22.444240000000001</c:v>
                </c:pt>
                <c:pt idx="135">
                  <c:v>22.531559999999999</c:v>
                </c:pt>
                <c:pt idx="136">
                  <c:v>22.781230000000001</c:v>
                </c:pt>
                <c:pt idx="137">
                  <c:v>22.930440000000001</c:v>
                </c:pt>
                <c:pt idx="138">
                  <c:v>23.084119999999999</c:v>
                </c:pt>
                <c:pt idx="139">
                  <c:v>23.216470000000001</c:v>
                </c:pt>
                <c:pt idx="140">
                  <c:v>23.34066</c:v>
                </c:pt>
                <c:pt idx="141">
                  <c:v>23.43796</c:v>
                </c:pt>
                <c:pt idx="142">
                  <c:v>23.483280000000001</c:v>
                </c:pt>
                <c:pt idx="143">
                  <c:v>23.49586</c:v>
                </c:pt>
                <c:pt idx="144">
                  <c:v>23.579740000000001</c:v>
                </c:pt>
                <c:pt idx="145">
                  <c:v>23.693680000000001</c:v>
                </c:pt>
                <c:pt idx="146">
                  <c:v>23.80518</c:v>
                </c:pt>
                <c:pt idx="147">
                  <c:v>23.930070000000001</c:v>
                </c:pt>
                <c:pt idx="148">
                  <c:v>24.0228</c:v>
                </c:pt>
                <c:pt idx="149">
                  <c:v>24.13111</c:v>
                </c:pt>
                <c:pt idx="150">
                  <c:v>24.201419999999999</c:v>
                </c:pt>
                <c:pt idx="151">
                  <c:v>24.252559999999999</c:v>
                </c:pt>
                <c:pt idx="152">
                  <c:v>24.267119999999998</c:v>
                </c:pt>
                <c:pt idx="153">
                  <c:v>24.352930000000001</c:v>
                </c:pt>
                <c:pt idx="154">
                  <c:v>24.309560000000001</c:v>
                </c:pt>
                <c:pt idx="155">
                  <c:v>24.352930000000001</c:v>
                </c:pt>
                <c:pt idx="156">
                  <c:v>24.309560000000001</c:v>
                </c:pt>
                <c:pt idx="157">
                  <c:v>23.809750000000001</c:v>
                </c:pt>
                <c:pt idx="158">
                  <c:v>24.134409999999999</c:v>
                </c:pt>
                <c:pt idx="159">
                  <c:v>24.21369</c:v>
                </c:pt>
                <c:pt idx="160">
                  <c:v>24.35558</c:v>
                </c:pt>
                <c:pt idx="161">
                  <c:v>24.44896</c:v>
                </c:pt>
                <c:pt idx="162">
                  <c:v>24.558409999999999</c:v>
                </c:pt>
                <c:pt idx="163">
                  <c:v>24.592379999999999</c:v>
                </c:pt>
                <c:pt idx="164">
                  <c:v>24.674510000000001</c:v>
                </c:pt>
                <c:pt idx="165">
                  <c:v>24.77505</c:v>
                </c:pt>
                <c:pt idx="166">
                  <c:v>24.817609999999998</c:v>
                </c:pt>
                <c:pt idx="167">
                  <c:v>24.90072</c:v>
                </c:pt>
                <c:pt idx="168">
                  <c:v>25.021909999999998</c:v>
                </c:pt>
                <c:pt idx="169">
                  <c:v>25.121410000000001</c:v>
                </c:pt>
                <c:pt idx="170">
                  <c:v>25.17061</c:v>
                </c:pt>
                <c:pt idx="171">
                  <c:v>25.319400000000002</c:v>
                </c:pt>
                <c:pt idx="172">
                  <c:v>25.4682</c:v>
                </c:pt>
                <c:pt idx="173">
                  <c:v>25.606069999999999</c:v>
                </c:pt>
                <c:pt idx="174">
                  <c:v>25.664909999999999</c:v>
                </c:pt>
                <c:pt idx="175">
                  <c:v>25.798439999999999</c:v>
                </c:pt>
                <c:pt idx="176">
                  <c:v>25.916219999999999</c:v>
                </c:pt>
                <c:pt idx="177">
                  <c:v>25.98076</c:v>
                </c:pt>
                <c:pt idx="178">
                  <c:v>26.093900000000001</c:v>
                </c:pt>
                <c:pt idx="179">
                  <c:v>26.224519999999998</c:v>
                </c:pt>
                <c:pt idx="180">
                  <c:v>26.332740000000001</c:v>
                </c:pt>
                <c:pt idx="181">
                  <c:v>26.479009999999999</c:v>
                </c:pt>
                <c:pt idx="182">
                  <c:v>26.609369999999998</c:v>
                </c:pt>
                <c:pt idx="183">
                  <c:v>26.679099999999998</c:v>
                </c:pt>
                <c:pt idx="184">
                  <c:v>26.777699999999999</c:v>
                </c:pt>
                <c:pt idx="185">
                  <c:v>26.876000000000001</c:v>
                </c:pt>
                <c:pt idx="186">
                  <c:v>26.852319999999999</c:v>
                </c:pt>
                <c:pt idx="187">
                  <c:v>26.888680000000001</c:v>
                </c:pt>
                <c:pt idx="188">
                  <c:v>26.961590000000001</c:v>
                </c:pt>
                <c:pt idx="189">
                  <c:v>27.00179</c:v>
                </c:pt>
                <c:pt idx="190">
                  <c:v>27.058319999999998</c:v>
                </c:pt>
                <c:pt idx="191">
                  <c:v>27.103390000000001</c:v>
                </c:pt>
                <c:pt idx="192">
                  <c:v>27.082840000000001</c:v>
                </c:pt>
                <c:pt idx="193">
                  <c:v>27.091449999999998</c:v>
                </c:pt>
                <c:pt idx="194">
                  <c:v>27.08802</c:v>
                </c:pt>
                <c:pt idx="195">
                  <c:v>27.149750000000001</c:v>
                </c:pt>
                <c:pt idx="196">
                  <c:v>27.198699999999999</c:v>
                </c:pt>
                <c:pt idx="197">
                  <c:v>27.233519999999999</c:v>
                </c:pt>
                <c:pt idx="198">
                  <c:v>27.239460000000001</c:v>
                </c:pt>
                <c:pt idx="199">
                  <c:v>27.301130000000001</c:v>
                </c:pt>
                <c:pt idx="200">
                  <c:v>27.348659999999999</c:v>
                </c:pt>
                <c:pt idx="201">
                  <c:v>27.40663</c:v>
                </c:pt>
                <c:pt idx="202">
                  <c:v>27.476700000000001</c:v>
                </c:pt>
                <c:pt idx="203">
                  <c:v>27.512239999999998</c:v>
                </c:pt>
                <c:pt idx="204">
                  <c:v>27.512239999999998</c:v>
                </c:pt>
                <c:pt idx="205">
                  <c:v>27.522320000000001</c:v>
                </c:pt>
                <c:pt idx="206">
                  <c:v>27.586020000000001</c:v>
                </c:pt>
                <c:pt idx="207">
                  <c:v>27.611840000000001</c:v>
                </c:pt>
                <c:pt idx="208">
                  <c:v>27.631019999999999</c:v>
                </c:pt>
                <c:pt idx="209">
                  <c:v>27.66058</c:v>
                </c:pt>
                <c:pt idx="210">
                  <c:v>27.67024</c:v>
                </c:pt>
                <c:pt idx="211">
                  <c:v>27.68929</c:v>
                </c:pt>
                <c:pt idx="212">
                  <c:v>27.68929</c:v>
                </c:pt>
                <c:pt idx="213">
                  <c:v>27.66058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</c:numCache>
            </c:numRef>
          </c:yVal>
        </c:ser>
        <c:ser>
          <c:idx val="1"/>
          <c:order val="1"/>
          <c:tx>
            <c:strRef>
              <c:f>'Example data'!$C$1</c:f>
              <c:strCache>
                <c:ptCount val="1"/>
                <c:pt idx="0">
                  <c:v>Kenya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'Example data'!$A$2:$A$218</c:f>
              <c:numCache>
                <c:formatCode>General</c:formatCode>
                <c:ptCount val="217"/>
                <c:pt idx="0">
                  <c:v>1788</c:v>
                </c:pt>
                <c:pt idx="1">
                  <c:v>1789</c:v>
                </c:pt>
                <c:pt idx="2">
                  <c:v>1790</c:v>
                </c:pt>
                <c:pt idx="3">
                  <c:v>1791</c:v>
                </c:pt>
                <c:pt idx="4">
                  <c:v>1792</c:v>
                </c:pt>
                <c:pt idx="5">
                  <c:v>1793</c:v>
                </c:pt>
                <c:pt idx="6">
                  <c:v>1794</c:v>
                </c:pt>
                <c:pt idx="7">
                  <c:v>1795</c:v>
                </c:pt>
                <c:pt idx="8">
                  <c:v>1796</c:v>
                </c:pt>
                <c:pt idx="9">
                  <c:v>1797</c:v>
                </c:pt>
                <c:pt idx="10">
                  <c:v>1798</c:v>
                </c:pt>
                <c:pt idx="11">
                  <c:v>1799</c:v>
                </c:pt>
                <c:pt idx="12">
                  <c:v>1800</c:v>
                </c:pt>
                <c:pt idx="13">
                  <c:v>1801</c:v>
                </c:pt>
                <c:pt idx="14">
                  <c:v>1802</c:v>
                </c:pt>
                <c:pt idx="15">
                  <c:v>1803</c:v>
                </c:pt>
                <c:pt idx="16">
                  <c:v>1804</c:v>
                </c:pt>
                <c:pt idx="17">
                  <c:v>1805</c:v>
                </c:pt>
                <c:pt idx="18">
                  <c:v>1806</c:v>
                </c:pt>
                <c:pt idx="19">
                  <c:v>1807</c:v>
                </c:pt>
                <c:pt idx="20">
                  <c:v>1808</c:v>
                </c:pt>
                <c:pt idx="21">
                  <c:v>1809</c:v>
                </c:pt>
                <c:pt idx="22">
                  <c:v>1810</c:v>
                </c:pt>
                <c:pt idx="23">
                  <c:v>1811</c:v>
                </c:pt>
                <c:pt idx="24">
                  <c:v>1812</c:v>
                </c:pt>
                <c:pt idx="25">
                  <c:v>1813</c:v>
                </c:pt>
                <c:pt idx="26">
                  <c:v>1814</c:v>
                </c:pt>
                <c:pt idx="27">
                  <c:v>1815</c:v>
                </c:pt>
                <c:pt idx="28">
                  <c:v>1816</c:v>
                </c:pt>
                <c:pt idx="29">
                  <c:v>1817</c:v>
                </c:pt>
                <c:pt idx="30">
                  <c:v>1818</c:v>
                </c:pt>
                <c:pt idx="31">
                  <c:v>1819</c:v>
                </c:pt>
                <c:pt idx="32">
                  <c:v>1820</c:v>
                </c:pt>
                <c:pt idx="33">
                  <c:v>1821</c:v>
                </c:pt>
                <c:pt idx="34">
                  <c:v>1822</c:v>
                </c:pt>
                <c:pt idx="35">
                  <c:v>1823</c:v>
                </c:pt>
                <c:pt idx="36">
                  <c:v>1824</c:v>
                </c:pt>
                <c:pt idx="37">
                  <c:v>1825</c:v>
                </c:pt>
                <c:pt idx="38">
                  <c:v>1826</c:v>
                </c:pt>
                <c:pt idx="39">
                  <c:v>1827</c:v>
                </c:pt>
                <c:pt idx="40">
                  <c:v>1828</c:v>
                </c:pt>
                <c:pt idx="41">
                  <c:v>1829</c:v>
                </c:pt>
                <c:pt idx="42">
                  <c:v>1830</c:v>
                </c:pt>
                <c:pt idx="43">
                  <c:v>1831</c:v>
                </c:pt>
                <c:pt idx="44">
                  <c:v>1832</c:v>
                </c:pt>
                <c:pt idx="45">
                  <c:v>1833</c:v>
                </c:pt>
                <c:pt idx="46">
                  <c:v>1834</c:v>
                </c:pt>
                <c:pt idx="47">
                  <c:v>1835</c:v>
                </c:pt>
                <c:pt idx="48">
                  <c:v>1836</c:v>
                </c:pt>
                <c:pt idx="49">
                  <c:v>1837</c:v>
                </c:pt>
                <c:pt idx="50">
                  <c:v>1838</c:v>
                </c:pt>
                <c:pt idx="51">
                  <c:v>1839</c:v>
                </c:pt>
                <c:pt idx="52">
                  <c:v>1840</c:v>
                </c:pt>
                <c:pt idx="53">
                  <c:v>1841</c:v>
                </c:pt>
                <c:pt idx="54">
                  <c:v>1842</c:v>
                </c:pt>
                <c:pt idx="55">
                  <c:v>1843</c:v>
                </c:pt>
                <c:pt idx="56">
                  <c:v>1844</c:v>
                </c:pt>
                <c:pt idx="57">
                  <c:v>1845</c:v>
                </c:pt>
                <c:pt idx="58">
                  <c:v>1846</c:v>
                </c:pt>
                <c:pt idx="59">
                  <c:v>1847</c:v>
                </c:pt>
                <c:pt idx="60">
                  <c:v>1848</c:v>
                </c:pt>
                <c:pt idx="61">
                  <c:v>1849</c:v>
                </c:pt>
                <c:pt idx="62">
                  <c:v>1850</c:v>
                </c:pt>
                <c:pt idx="63">
                  <c:v>1851</c:v>
                </c:pt>
                <c:pt idx="64">
                  <c:v>1852</c:v>
                </c:pt>
                <c:pt idx="65">
                  <c:v>1853</c:v>
                </c:pt>
                <c:pt idx="66">
                  <c:v>1854</c:v>
                </c:pt>
                <c:pt idx="67">
                  <c:v>1855</c:v>
                </c:pt>
                <c:pt idx="68">
                  <c:v>1856</c:v>
                </c:pt>
                <c:pt idx="69">
                  <c:v>1857</c:v>
                </c:pt>
                <c:pt idx="70">
                  <c:v>1858</c:v>
                </c:pt>
                <c:pt idx="71">
                  <c:v>1859</c:v>
                </c:pt>
                <c:pt idx="72">
                  <c:v>1860</c:v>
                </c:pt>
                <c:pt idx="73">
                  <c:v>1861</c:v>
                </c:pt>
                <c:pt idx="74">
                  <c:v>1862</c:v>
                </c:pt>
                <c:pt idx="75">
                  <c:v>1863</c:v>
                </c:pt>
                <c:pt idx="76">
                  <c:v>1864</c:v>
                </c:pt>
                <c:pt idx="77">
                  <c:v>1865</c:v>
                </c:pt>
                <c:pt idx="78">
                  <c:v>1866</c:v>
                </c:pt>
                <c:pt idx="79">
                  <c:v>1867</c:v>
                </c:pt>
                <c:pt idx="80">
                  <c:v>1868</c:v>
                </c:pt>
                <c:pt idx="81">
                  <c:v>1869</c:v>
                </c:pt>
                <c:pt idx="82">
                  <c:v>1870</c:v>
                </c:pt>
                <c:pt idx="83">
                  <c:v>1871</c:v>
                </c:pt>
                <c:pt idx="84">
                  <c:v>1872</c:v>
                </c:pt>
                <c:pt idx="85">
                  <c:v>1873</c:v>
                </c:pt>
                <c:pt idx="86">
                  <c:v>1874</c:v>
                </c:pt>
                <c:pt idx="87">
                  <c:v>1875</c:v>
                </c:pt>
                <c:pt idx="88">
                  <c:v>1876</c:v>
                </c:pt>
                <c:pt idx="89">
                  <c:v>1877</c:v>
                </c:pt>
                <c:pt idx="90">
                  <c:v>1878</c:v>
                </c:pt>
                <c:pt idx="91">
                  <c:v>1879</c:v>
                </c:pt>
                <c:pt idx="92">
                  <c:v>1880</c:v>
                </c:pt>
                <c:pt idx="93">
                  <c:v>1881</c:v>
                </c:pt>
                <c:pt idx="94">
                  <c:v>1882</c:v>
                </c:pt>
                <c:pt idx="95">
                  <c:v>1883</c:v>
                </c:pt>
                <c:pt idx="96">
                  <c:v>1884</c:v>
                </c:pt>
                <c:pt idx="97">
                  <c:v>1885</c:v>
                </c:pt>
                <c:pt idx="98">
                  <c:v>1886</c:v>
                </c:pt>
                <c:pt idx="99">
                  <c:v>1887</c:v>
                </c:pt>
                <c:pt idx="100">
                  <c:v>1888</c:v>
                </c:pt>
                <c:pt idx="101">
                  <c:v>1889</c:v>
                </c:pt>
                <c:pt idx="102">
                  <c:v>1890</c:v>
                </c:pt>
                <c:pt idx="103">
                  <c:v>1891</c:v>
                </c:pt>
                <c:pt idx="104">
                  <c:v>1892</c:v>
                </c:pt>
                <c:pt idx="105">
                  <c:v>1893</c:v>
                </c:pt>
                <c:pt idx="106">
                  <c:v>1894</c:v>
                </c:pt>
                <c:pt idx="107">
                  <c:v>1895</c:v>
                </c:pt>
                <c:pt idx="108">
                  <c:v>1896</c:v>
                </c:pt>
                <c:pt idx="109">
                  <c:v>1897</c:v>
                </c:pt>
                <c:pt idx="110">
                  <c:v>1898</c:v>
                </c:pt>
                <c:pt idx="111">
                  <c:v>1899</c:v>
                </c:pt>
                <c:pt idx="112">
                  <c:v>1900</c:v>
                </c:pt>
                <c:pt idx="113">
                  <c:v>1901</c:v>
                </c:pt>
                <c:pt idx="114">
                  <c:v>1902</c:v>
                </c:pt>
                <c:pt idx="115">
                  <c:v>1903</c:v>
                </c:pt>
                <c:pt idx="116">
                  <c:v>1904</c:v>
                </c:pt>
                <c:pt idx="117">
                  <c:v>1905</c:v>
                </c:pt>
                <c:pt idx="118">
                  <c:v>1906</c:v>
                </c:pt>
                <c:pt idx="119">
                  <c:v>1907</c:v>
                </c:pt>
                <c:pt idx="120">
                  <c:v>1908</c:v>
                </c:pt>
                <c:pt idx="121">
                  <c:v>1909</c:v>
                </c:pt>
                <c:pt idx="122">
                  <c:v>1910</c:v>
                </c:pt>
                <c:pt idx="123">
                  <c:v>1911</c:v>
                </c:pt>
                <c:pt idx="124">
                  <c:v>1912</c:v>
                </c:pt>
                <c:pt idx="125">
                  <c:v>1913</c:v>
                </c:pt>
                <c:pt idx="126">
                  <c:v>1914</c:v>
                </c:pt>
                <c:pt idx="127">
                  <c:v>1915</c:v>
                </c:pt>
                <c:pt idx="128">
                  <c:v>1916</c:v>
                </c:pt>
                <c:pt idx="129">
                  <c:v>1917</c:v>
                </c:pt>
                <c:pt idx="130">
                  <c:v>1918</c:v>
                </c:pt>
                <c:pt idx="131">
                  <c:v>1919</c:v>
                </c:pt>
                <c:pt idx="132">
                  <c:v>1920</c:v>
                </c:pt>
                <c:pt idx="133">
                  <c:v>1921</c:v>
                </c:pt>
                <c:pt idx="134">
                  <c:v>1922</c:v>
                </c:pt>
                <c:pt idx="135">
                  <c:v>1923</c:v>
                </c:pt>
                <c:pt idx="136">
                  <c:v>1924</c:v>
                </c:pt>
                <c:pt idx="137">
                  <c:v>1925</c:v>
                </c:pt>
                <c:pt idx="138">
                  <c:v>1926</c:v>
                </c:pt>
                <c:pt idx="139">
                  <c:v>1927</c:v>
                </c:pt>
                <c:pt idx="140">
                  <c:v>1928</c:v>
                </c:pt>
                <c:pt idx="141">
                  <c:v>1929</c:v>
                </c:pt>
                <c:pt idx="142">
                  <c:v>1930</c:v>
                </c:pt>
                <c:pt idx="143">
                  <c:v>1931</c:v>
                </c:pt>
                <c:pt idx="144">
                  <c:v>1932</c:v>
                </c:pt>
                <c:pt idx="145">
                  <c:v>1933</c:v>
                </c:pt>
                <c:pt idx="146">
                  <c:v>1934</c:v>
                </c:pt>
                <c:pt idx="147">
                  <c:v>1935</c:v>
                </c:pt>
                <c:pt idx="148">
                  <c:v>1936</c:v>
                </c:pt>
                <c:pt idx="149">
                  <c:v>1937</c:v>
                </c:pt>
                <c:pt idx="150">
                  <c:v>1938</c:v>
                </c:pt>
                <c:pt idx="151">
                  <c:v>1939</c:v>
                </c:pt>
                <c:pt idx="152">
                  <c:v>1940</c:v>
                </c:pt>
                <c:pt idx="153">
                  <c:v>1941</c:v>
                </c:pt>
                <c:pt idx="154">
                  <c:v>1942</c:v>
                </c:pt>
                <c:pt idx="155">
                  <c:v>1943</c:v>
                </c:pt>
                <c:pt idx="156">
                  <c:v>1944</c:v>
                </c:pt>
                <c:pt idx="157">
                  <c:v>1945</c:v>
                </c:pt>
                <c:pt idx="158">
                  <c:v>1946</c:v>
                </c:pt>
                <c:pt idx="159">
                  <c:v>1947</c:v>
                </c:pt>
                <c:pt idx="160">
                  <c:v>1948</c:v>
                </c:pt>
                <c:pt idx="161">
                  <c:v>1949</c:v>
                </c:pt>
                <c:pt idx="162">
                  <c:v>1950</c:v>
                </c:pt>
                <c:pt idx="163">
                  <c:v>1951</c:v>
                </c:pt>
                <c:pt idx="164">
                  <c:v>1952</c:v>
                </c:pt>
                <c:pt idx="165">
                  <c:v>1953</c:v>
                </c:pt>
                <c:pt idx="166">
                  <c:v>1954</c:v>
                </c:pt>
                <c:pt idx="167">
                  <c:v>1955</c:v>
                </c:pt>
                <c:pt idx="168">
                  <c:v>1956</c:v>
                </c:pt>
                <c:pt idx="169">
                  <c:v>1957</c:v>
                </c:pt>
                <c:pt idx="170">
                  <c:v>1958</c:v>
                </c:pt>
                <c:pt idx="171">
                  <c:v>1959</c:v>
                </c:pt>
                <c:pt idx="172">
                  <c:v>1960</c:v>
                </c:pt>
                <c:pt idx="173">
                  <c:v>1961</c:v>
                </c:pt>
                <c:pt idx="174">
                  <c:v>1962</c:v>
                </c:pt>
                <c:pt idx="175">
                  <c:v>1963</c:v>
                </c:pt>
                <c:pt idx="176">
                  <c:v>1964</c:v>
                </c:pt>
                <c:pt idx="177">
                  <c:v>1965</c:v>
                </c:pt>
                <c:pt idx="178">
                  <c:v>1966</c:v>
                </c:pt>
                <c:pt idx="179">
                  <c:v>1967</c:v>
                </c:pt>
                <c:pt idx="180">
                  <c:v>1968</c:v>
                </c:pt>
                <c:pt idx="181">
                  <c:v>1969</c:v>
                </c:pt>
                <c:pt idx="182">
                  <c:v>1970</c:v>
                </c:pt>
                <c:pt idx="183">
                  <c:v>1971</c:v>
                </c:pt>
                <c:pt idx="184">
                  <c:v>1972</c:v>
                </c:pt>
                <c:pt idx="185">
                  <c:v>1973</c:v>
                </c:pt>
                <c:pt idx="186">
                  <c:v>1974</c:v>
                </c:pt>
                <c:pt idx="187">
                  <c:v>1975</c:v>
                </c:pt>
                <c:pt idx="188">
                  <c:v>1976</c:v>
                </c:pt>
                <c:pt idx="189">
                  <c:v>1977</c:v>
                </c:pt>
                <c:pt idx="190">
                  <c:v>1978</c:v>
                </c:pt>
                <c:pt idx="191">
                  <c:v>1979</c:v>
                </c:pt>
                <c:pt idx="192">
                  <c:v>1980</c:v>
                </c:pt>
                <c:pt idx="193">
                  <c:v>1981</c:v>
                </c:pt>
                <c:pt idx="194">
                  <c:v>1982</c:v>
                </c:pt>
                <c:pt idx="195">
                  <c:v>1983</c:v>
                </c:pt>
                <c:pt idx="196">
                  <c:v>1984</c:v>
                </c:pt>
                <c:pt idx="197">
                  <c:v>1985</c:v>
                </c:pt>
                <c:pt idx="198">
                  <c:v>1986</c:v>
                </c:pt>
                <c:pt idx="199">
                  <c:v>1987</c:v>
                </c:pt>
                <c:pt idx="200">
                  <c:v>1988</c:v>
                </c:pt>
                <c:pt idx="201">
                  <c:v>1989</c:v>
                </c:pt>
                <c:pt idx="202">
                  <c:v>1990</c:v>
                </c:pt>
                <c:pt idx="203">
                  <c:v>1991</c:v>
                </c:pt>
                <c:pt idx="204">
                  <c:v>1992</c:v>
                </c:pt>
                <c:pt idx="205">
                  <c:v>1993</c:v>
                </c:pt>
                <c:pt idx="206">
                  <c:v>1994</c:v>
                </c:pt>
                <c:pt idx="207">
                  <c:v>1995</c:v>
                </c:pt>
                <c:pt idx="208">
                  <c:v>1996</c:v>
                </c:pt>
                <c:pt idx="209">
                  <c:v>1997</c:v>
                </c:pt>
                <c:pt idx="210">
                  <c:v>1998</c:v>
                </c:pt>
                <c:pt idx="211">
                  <c:v>1999</c:v>
                </c:pt>
                <c:pt idx="212">
                  <c:v>2000</c:v>
                </c:pt>
                <c:pt idx="213">
                  <c:v>2001</c:v>
                </c:pt>
                <c:pt idx="214">
                  <c:v>2002</c:v>
                </c:pt>
                <c:pt idx="215">
                  <c:v>2003</c:v>
                </c:pt>
                <c:pt idx="216">
                  <c:v>2004</c:v>
                </c:pt>
              </c:numCache>
            </c:numRef>
          </c:xVal>
          <c:yVal>
            <c:numRef>
              <c:f>'Example data'!$C$2:$C$218</c:f>
              <c:numCache>
                <c:formatCode>General</c:formatCode>
                <c:ptCount val="2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16.648720000000001</c:v>
                </c:pt>
                <c:pt idx="151">
                  <c:v>16.75995</c:v>
                </c:pt>
                <c:pt idx="152">
                  <c:v>16.906549999999999</c:v>
                </c:pt>
                <c:pt idx="153">
                  <c:v>17.073609999999999</c:v>
                </c:pt>
                <c:pt idx="154">
                  <c:v>17.249500000000001</c:v>
                </c:pt>
                <c:pt idx="155">
                  <c:v>17.34187</c:v>
                </c:pt>
                <c:pt idx="156">
                  <c:v>17.42643</c:v>
                </c:pt>
                <c:pt idx="157">
                  <c:v>17.52908</c:v>
                </c:pt>
                <c:pt idx="158">
                  <c:v>17.52908</c:v>
                </c:pt>
                <c:pt idx="159">
                  <c:v>17.599699999999999</c:v>
                </c:pt>
                <c:pt idx="160">
                  <c:v>17.87595</c:v>
                </c:pt>
                <c:pt idx="161">
                  <c:v>18.064</c:v>
                </c:pt>
                <c:pt idx="162">
                  <c:v>18.488340000000001</c:v>
                </c:pt>
                <c:pt idx="163">
                  <c:v>18.643820000000002</c:v>
                </c:pt>
                <c:pt idx="164">
                  <c:v>18.845949999999998</c:v>
                </c:pt>
                <c:pt idx="165">
                  <c:v>19.008469999999999</c:v>
                </c:pt>
                <c:pt idx="166">
                  <c:v>19.186150000000001</c:v>
                </c:pt>
                <c:pt idx="167">
                  <c:v>19.340959999999999</c:v>
                </c:pt>
                <c:pt idx="168">
                  <c:v>19.505870000000002</c:v>
                </c:pt>
                <c:pt idx="169">
                  <c:v>19.590060000000001</c:v>
                </c:pt>
                <c:pt idx="170">
                  <c:v>19.36459</c:v>
                </c:pt>
                <c:pt idx="171">
                  <c:v>19.356770000000001</c:v>
                </c:pt>
                <c:pt idx="172">
                  <c:v>19.402760000000001</c:v>
                </c:pt>
                <c:pt idx="173">
                  <c:v>19.368469999999999</c:v>
                </c:pt>
                <c:pt idx="174">
                  <c:v>19.474989999999998</c:v>
                </c:pt>
                <c:pt idx="175">
                  <c:v>19.571249999999999</c:v>
                </c:pt>
                <c:pt idx="176">
                  <c:v>19.776520000000001</c:v>
                </c:pt>
                <c:pt idx="177">
                  <c:v>19.79186</c:v>
                </c:pt>
                <c:pt idx="178">
                  <c:v>19.8462</c:v>
                </c:pt>
                <c:pt idx="179">
                  <c:v>19.829229999999999</c:v>
                </c:pt>
                <c:pt idx="180">
                  <c:v>19.970369999999999</c:v>
                </c:pt>
                <c:pt idx="181">
                  <c:v>20.086500000000001</c:v>
                </c:pt>
                <c:pt idx="182">
                  <c:v>20.183700000000002</c:v>
                </c:pt>
                <c:pt idx="183">
                  <c:v>20.253260000000001</c:v>
                </c:pt>
                <c:pt idx="184">
                  <c:v>20.414020000000001</c:v>
                </c:pt>
                <c:pt idx="185">
                  <c:v>20.491330000000001</c:v>
                </c:pt>
                <c:pt idx="186">
                  <c:v>20.584</c:v>
                </c:pt>
                <c:pt idx="187">
                  <c:v>20.693840000000002</c:v>
                </c:pt>
                <c:pt idx="188">
                  <c:v>20.871690000000001</c:v>
                </c:pt>
                <c:pt idx="189">
                  <c:v>20.827629999999999</c:v>
                </c:pt>
                <c:pt idx="190">
                  <c:v>21.045349999999999</c:v>
                </c:pt>
                <c:pt idx="191">
                  <c:v>21.174340000000001</c:v>
                </c:pt>
                <c:pt idx="192">
                  <c:v>21.122039999999998</c:v>
                </c:pt>
                <c:pt idx="193">
                  <c:v>21.282879999999999</c:v>
                </c:pt>
                <c:pt idx="194">
                  <c:v>21.365120000000001</c:v>
                </c:pt>
                <c:pt idx="195">
                  <c:v>21.525269999999999</c:v>
                </c:pt>
                <c:pt idx="196">
                  <c:v>21.534199999999998</c:v>
                </c:pt>
                <c:pt idx="197">
                  <c:v>21.635549999999999</c:v>
                </c:pt>
                <c:pt idx="198">
                  <c:v>21.651489999999999</c:v>
                </c:pt>
                <c:pt idx="199">
                  <c:v>21.690249999999999</c:v>
                </c:pt>
                <c:pt idx="200">
                  <c:v>21.76707</c:v>
                </c:pt>
                <c:pt idx="201">
                  <c:v>21.787980000000001</c:v>
                </c:pt>
                <c:pt idx="202">
                  <c:v>21.83512</c:v>
                </c:pt>
                <c:pt idx="203">
                  <c:v>21.89575</c:v>
                </c:pt>
                <c:pt idx="204">
                  <c:v>21.89265</c:v>
                </c:pt>
                <c:pt idx="205">
                  <c:v>21.947040000000001</c:v>
                </c:pt>
                <c:pt idx="206">
                  <c:v>21.987390000000001</c:v>
                </c:pt>
                <c:pt idx="207">
                  <c:v>22.102029999999999</c:v>
                </c:pt>
                <c:pt idx="208">
                  <c:v>22.146370000000001</c:v>
                </c:pt>
                <c:pt idx="209">
                  <c:v>22.198029999999999</c:v>
                </c:pt>
                <c:pt idx="210">
                  <c:v>22.227340000000002</c:v>
                </c:pt>
                <c:pt idx="211">
                  <c:v>22.184200000000001</c:v>
                </c:pt>
                <c:pt idx="212">
                  <c:v>22.0791</c:v>
                </c:pt>
                <c:pt idx="213">
                  <c:v>22.202590000000001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</c:numCache>
            </c:numRef>
          </c:yVal>
        </c:ser>
        <c:ser>
          <c:idx val="2"/>
          <c:order val="2"/>
          <c:tx>
            <c:strRef>
              <c:f>'Example data'!$D$1</c:f>
              <c:strCache>
                <c:ptCount val="1"/>
                <c:pt idx="0">
                  <c:v>Netherlands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'Example data'!$A$2:$A$218</c:f>
              <c:numCache>
                <c:formatCode>General</c:formatCode>
                <c:ptCount val="217"/>
                <c:pt idx="0">
                  <c:v>1788</c:v>
                </c:pt>
                <c:pt idx="1">
                  <c:v>1789</c:v>
                </c:pt>
                <c:pt idx="2">
                  <c:v>1790</c:v>
                </c:pt>
                <c:pt idx="3">
                  <c:v>1791</c:v>
                </c:pt>
                <c:pt idx="4">
                  <c:v>1792</c:v>
                </c:pt>
                <c:pt idx="5">
                  <c:v>1793</c:v>
                </c:pt>
                <c:pt idx="6">
                  <c:v>1794</c:v>
                </c:pt>
                <c:pt idx="7">
                  <c:v>1795</c:v>
                </c:pt>
                <c:pt idx="8">
                  <c:v>1796</c:v>
                </c:pt>
                <c:pt idx="9">
                  <c:v>1797</c:v>
                </c:pt>
                <c:pt idx="10">
                  <c:v>1798</c:v>
                </c:pt>
                <c:pt idx="11">
                  <c:v>1799</c:v>
                </c:pt>
                <c:pt idx="12">
                  <c:v>1800</c:v>
                </c:pt>
                <c:pt idx="13">
                  <c:v>1801</c:v>
                </c:pt>
                <c:pt idx="14">
                  <c:v>1802</c:v>
                </c:pt>
                <c:pt idx="15">
                  <c:v>1803</c:v>
                </c:pt>
                <c:pt idx="16">
                  <c:v>1804</c:v>
                </c:pt>
                <c:pt idx="17">
                  <c:v>1805</c:v>
                </c:pt>
                <c:pt idx="18">
                  <c:v>1806</c:v>
                </c:pt>
                <c:pt idx="19">
                  <c:v>1807</c:v>
                </c:pt>
                <c:pt idx="20">
                  <c:v>1808</c:v>
                </c:pt>
                <c:pt idx="21">
                  <c:v>1809</c:v>
                </c:pt>
                <c:pt idx="22">
                  <c:v>1810</c:v>
                </c:pt>
                <c:pt idx="23">
                  <c:v>1811</c:v>
                </c:pt>
                <c:pt idx="24">
                  <c:v>1812</c:v>
                </c:pt>
                <c:pt idx="25">
                  <c:v>1813</c:v>
                </c:pt>
                <c:pt idx="26">
                  <c:v>1814</c:v>
                </c:pt>
                <c:pt idx="27">
                  <c:v>1815</c:v>
                </c:pt>
                <c:pt idx="28">
                  <c:v>1816</c:v>
                </c:pt>
                <c:pt idx="29">
                  <c:v>1817</c:v>
                </c:pt>
                <c:pt idx="30">
                  <c:v>1818</c:v>
                </c:pt>
                <c:pt idx="31">
                  <c:v>1819</c:v>
                </c:pt>
                <c:pt idx="32">
                  <c:v>1820</c:v>
                </c:pt>
                <c:pt idx="33">
                  <c:v>1821</c:v>
                </c:pt>
                <c:pt idx="34">
                  <c:v>1822</c:v>
                </c:pt>
                <c:pt idx="35">
                  <c:v>1823</c:v>
                </c:pt>
                <c:pt idx="36">
                  <c:v>1824</c:v>
                </c:pt>
                <c:pt idx="37">
                  <c:v>1825</c:v>
                </c:pt>
                <c:pt idx="38">
                  <c:v>1826</c:v>
                </c:pt>
                <c:pt idx="39">
                  <c:v>1827</c:v>
                </c:pt>
                <c:pt idx="40">
                  <c:v>1828</c:v>
                </c:pt>
                <c:pt idx="41">
                  <c:v>1829</c:v>
                </c:pt>
                <c:pt idx="42">
                  <c:v>1830</c:v>
                </c:pt>
                <c:pt idx="43">
                  <c:v>1831</c:v>
                </c:pt>
                <c:pt idx="44">
                  <c:v>1832</c:v>
                </c:pt>
                <c:pt idx="45">
                  <c:v>1833</c:v>
                </c:pt>
                <c:pt idx="46">
                  <c:v>1834</c:v>
                </c:pt>
                <c:pt idx="47">
                  <c:v>1835</c:v>
                </c:pt>
                <c:pt idx="48">
                  <c:v>1836</c:v>
                </c:pt>
                <c:pt idx="49">
                  <c:v>1837</c:v>
                </c:pt>
                <c:pt idx="50">
                  <c:v>1838</c:v>
                </c:pt>
                <c:pt idx="51">
                  <c:v>1839</c:v>
                </c:pt>
                <c:pt idx="52">
                  <c:v>1840</c:v>
                </c:pt>
                <c:pt idx="53">
                  <c:v>1841</c:v>
                </c:pt>
                <c:pt idx="54">
                  <c:v>1842</c:v>
                </c:pt>
                <c:pt idx="55">
                  <c:v>1843</c:v>
                </c:pt>
                <c:pt idx="56">
                  <c:v>1844</c:v>
                </c:pt>
                <c:pt idx="57">
                  <c:v>1845</c:v>
                </c:pt>
                <c:pt idx="58">
                  <c:v>1846</c:v>
                </c:pt>
                <c:pt idx="59">
                  <c:v>1847</c:v>
                </c:pt>
                <c:pt idx="60">
                  <c:v>1848</c:v>
                </c:pt>
                <c:pt idx="61">
                  <c:v>1849</c:v>
                </c:pt>
                <c:pt idx="62">
                  <c:v>1850</c:v>
                </c:pt>
                <c:pt idx="63">
                  <c:v>1851</c:v>
                </c:pt>
                <c:pt idx="64">
                  <c:v>1852</c:v>
                </c:pt>
                <c:pt idx="65">
                  <c:v>1853</c:v>
                </c:pt>
                <c:pt idx="66">
                  <c:v>1854</c:v>
                </c:pt>
                <c:pt idx="67">
                  <c:v>1855</c:v>
                </c:pt>
                <c:pt idx="68">
                  <c:v>1856</c:v>
                </c:pt>
                <c:pt idx="69">
                  <c:v>1857</c:v>
                </c:pt>
                <c:pt idx="70">
                  <c:v>1858</c:v>
                </c:pt>
                <c:pt idx="71">
                  <c:v>1859</c:v>
                </c:pt>
                <c:pt idx="72">
                  <c:v>1860</c:v>
                </c:pt>
                <c:pt idx="73">
                  <c:v>1861</c:v>
                </c:pt>
                <c:pt idx="74">
                  <c:v>1862</c:v>
                </c:pt>
                <c:pt idx="75">
                  <c:v>1863</c:v>
                </c:pt>
                <c:pt idx="76">
                  <c:v>1864</c:v>
                </c:pt>
                <c:pt idx="77">
                  <c:v>1865</c:v>
                </c:pt>
                <c:pt idx="78">
                  <c:v>1866</c:v>
                </c:pt>
                <c:pt idx="79">
                  <c:v>1867</c:v>
                </c:pt>
                <c:pt idx="80">
                  <c:v>1868</c:v>
                </c:pt>
                <c:pt idx="81">
                  <c:v>1869</c:v>
                </c:pt>
                <c:pt idx="82">
                  <c:v>1870</c:v>
                </c:pt>
                <c:pt idx="83">
                  <c:v>1871</c:v>
                </c:pt>
                <c:pt idx="84">
                  <c:v>1872</c:v>
                </c:pt>
                <c:pt idx="85">
                  <c:v>1873</c:v>
                </c:pt>
                <c:pt idx="86">
                  <c:v>1874</c:v>
                </c:pt>
                <c:pt idx="87">
                  <c:v>1875</c:v>
                </c:pt>
                <c:pt idx="88">
                  <c:v>1876</c:v>
                </c:pt>
                <c:pt idx="89">
                  <c:v>1877</c:v>
                </c:pt>
                <c:pt idx="90">
                  <c:v>1878</c:v>
                </c:pt>
                <c:pt idx="91">
                  <c:v>1879</c:v>
                </c:pt>
                <c:pt idx="92">
                  <c:v>1880</c:v>
                </c:pt>
                <c:pt idx="93">
                  <c:v>1881</c:v>
                </c:pt>
                <c:pt idx="94">
                  <c:v>1882</c:v>
                </c:pt>
                <c:pt idx="95">
                  <c:v>1883</c:v>
                </c:pt>
                <c:pt idx="96">
                  <c:v>1884</c:v>
                </c:pt>
                <c:pt idx="97">
                  <c:v>1885</c:v>
                </c:pt>
                <c:pt idx="98">
                  <c:v>1886</c:v>
                </c:pt>
                <c:pt idx="99">
                  <c:v>1887</c:v>
                </c:pt>
                <c:pt idx="100">
                  <c:v>1888</c:v>
                </c:pt>
                <c:pt idx="101">
                  <c:v>1889</c:v>
                </c:pt>
                <c:pt idx="102">
                  <c:v>1890</c:v>
                </c:pt>
                <c:pt idx="103">
                  <c:v>1891</c:v>
                </c:pt>
                <c:pt idx="104">
                  <c:v>1892</c:v>
                </c:pt>
                <c:pt idx="105">
                  <c:v>1893</c:v>
                </c:pt>
                <c:pt idx="106">
                  <c:v>1894</c:v>
                </c:pt>
                <c:pt idx="107">
                  <c:v>1895</c:v>
                </c:pt>
                <c:pt idx="108">
                  <c:v>1896</c:v>
                </c:pt>
                <c:pt idx="109">
                  <c:v>1897</c:v>
                </c:pt>
                <c:pt idx="110">
                  <c:v>1898</c:v>
                </c:pt>
                <c:pt idx="111">
                  <c:v>1899</c:v>
                </c:pt>
                <c:pt idx="112">
                  <c:v>1900</c:v>
                </c:pt>
                <c:pt idx="113">
                  <c:v>1901</c:v>
                </c:pt>
                <c:pt idx="114">
                  <c:v>1902</c:v>
                </c:pt>
                <c:pt idx="115">
                  <c:v>1903</c:v>
                </c:pt>
                <c:pt idx="116">
                  <c:v>1904</c:v>
                </c:pt>
                <c:pt idx="117">
                  <c:v>1905</c:v>
                </c:pt>
                <c:pt idx="118">
                  <c:v>1906</c:v>
                </c:pt>
                <c:pt idx="119">
                  <c:v>1907</c:v>
                </c:pt>
                <c:pt idx="120">
                  <c:v>1908</c:v>
                </c:pt>
                <c:pt idx="121">
                  <c:v>1909</c:v>
                </c:pt>
                <c:pt idx="122">
                  <c:v>1910</c:v>
                </c:pt>
                <c:pt idx="123">
                  <c:v>1911</c:v>
                </c:pt>
                <c:pt idx="124">
                  <c:v>1912</c:v>
                </c:pt>
                <c:pt idx="125">
                  <c:v>1913</c:v>
                </c:pt>
                <c:pt idx="126">
                  <c:v>1914</c:v>
                </c:pt>
                <c:pt idx="127">
                  <c:v>1915</c:v>
                </c:pt>
                <c:pt idx="128">
                  <c:v>1916</c:v>
                </c:pt>
                <c:pt idx="129">
                  <c:v>1917</c:v>
                </c:pt>
                <c:pt idx="130">
                  <c:v>1918</c:v>
                </c:pt>
                <c:pt idx="131">
                  <c:v>1919</c:v>
                </c:pt>
                <c:pt idx="132">
                  <c:v>1920</c:v>
                </c:pt>
                <c:pt idx="133">
                  <c:v>1921</c:v>
                </c:pt>
                <c:pt idx="134">
                  <c:v>1922</c:v>
                </c:pt>
                <c:pt idx="135">
                  <c:v>1923</c:v>
                </c:pt>
                <c:pt idx="136">
                  <c:v>1924</c:v>
                </c:pt>
                <c:pt idx="137">
                  <c:v>1925</c:v>
                </c:pt>
                <c:pt idx="138">
                  <c:v>1926</c:v>
                </c:pt>
                <c:pt idx="139">
                  <c:v>1927</c:v>
                </c:pt>
                <c:pt idx="140">
                  <c:v>1928</c:v>
                </c:pt>
                <c:pt idx="141">
                  <c:v>1929</c:v>
                </c:pt>
                <c:pt idx="142">
                  <c:v>1930</c:v>
                </c:pt>
                <c:pt idx="143">
                  <c:v>1931</c:v>
                </c:pt>
                <c:pt idx="144">
                  <c:v>1932</c:v>
                </c:pt>
                <c:pt idx="145">
                  <c:v>1933</c:v>
                </c:pt>
                <c:pt idx="146">
                  <c:v>1934</c:v>
                </c:pt>
                <c:pt idx="147">
                  <c:v>1935</c:v>
                </c:pt>
                <c:pt idx="148">
                  <c:v>1936</c:v>
                </c:pt>
                <c:pt idx="149">
                  <c:v>1937</c:v>
                </c:pt>
                <c:pt idx="150">
                  <c:v>1938</c:v>
                </c:pt>
                <c:pt idx="151">
                  <c:v>1939</c:v>
                </c:pt>
                <c:pt idx="152">
                  <c:v>1940</c:v>
                </c:pt>
                <c:pt idx="153">
                  <c:v>1941</c:v>
                </c:pt>
                <c:pt idx="154">
                  <c:v>1942</c:v>
                </c:pt>
                <c:pt idx="155">
                  <c:v>1943</c:v>
                </c:pt>
                <c:pt idx="156">
                  <c:v>1944</c:v>
                </c:pt>
                <c:pt idx="157">
                  <c:v>1945</c:v>
                </c:pt>
                <c:pt idx="158">
                  <c:v>1946</c:v>
                </c:pt>
                <c:pt idx="159">
                  <c:v>1947</c:v>
                </c:pt>
                <c:pt idx="160">
                  <c:v>1948</c:v>
                </c:pt>
                <c:pt idx="161">
                  <c:v>1949</c:v>
                </c:pt>
                <c:pt idx="162">
                  <c:v>1950</c:v>
                </c:pt>
                <c:pt idx="163">
                  <c:v>1951</c:v>
                </c:pt>
                <c:pt idx="164">
                  <c:v>1952</c:v>
                </c:pt>
                <c:pt idx="165">
                  <c:v>1953</c:v>
                </c:pt>
                <c:pt idx="166">
                  <c:v>1954</c:v>
                </c:pt>
                <c:pt idx="167">
                  <c:v>1955</c:v>
                </c:pt>
                <c:pt idx="168">
                  <c:v>1956</c:v>
                </c:pt>
                <c:pt idx="169">
                  <c:v>1957</c:v>
                </c:pt>
                <c:pt idx="170">
                  <c:v>1958</c:v>
                </c:pt>
                <c:pt idx="171">
                  <c:v>1959</c:v>
                </c:pt>
                <c:pt idx="172">
                  <c:v>1960</c:v>
                </c:pt>
                <c:pt idx="173">
                  <c:v>1961</c:v>
                </c:pt>
                <c:pt idx="174">
                  <c:v>1962</c:v>
                </c:pt>
                <c:pt idx="175">
                  <c:v>1963</c:v>
                </c:pt>
                <c:pt idx="176">
                  <c:v>1964</c:v>
                </c:pt>
                <c:pt idx="177">
                  <c:v>1965</c:v>
                </c:pt>
                <c:pt idx="178">
                  <c:v>1966</c:v>
                </c:pt>
                <c:pt idx="179">
                  <c:v>1967</c:v>
                </c:pt>
                <c:pt idx="180">
                  <c:v>1968</c:v>
                </c:pt>
                <c:pt idx="181">
                  <c:v>1969</c:v>
                </c:pt>
                <c:pt idx="182">
                  <c:v>1970</c:v>
                </c:pt>
                <c:pt idx="183">
                  <c:v>1971</c:v>
                </c:pt>
                <c:pt idx="184">
                  <c:v>1972</c:v>
                </c:pt>
                <c:pt idx="185">
                  <c:v>1973</c:v>
                </c:pt>
                <c:pt idx="186">
                  <c:v>1974</c:v>
                </c:pt>
                <c:pt idx="187">
                  <c:v>1975</c:v>
                </c:pt>
                <c:pt idx="188">
                  <c:v>1976</c:v>
                </c:pt>
                <c:pt idx="189">
                  <c:v>1977</c:v>
                </c:pt>
                <c:pt idx="190">
                  <c:v>1978</c:v>
                </c:pt>
                <c:pt idx="191">
                  <c:v>1979</c:v>
                </c:pt>
                <c:pt idx="192">
                  <c:v>1980</c:v>
                </c:pt>
                <c:pt idx="193">
                  <c:v>1981</c:v>
                </c:pt>
                <c:pt idx="194">
                  <c:v>1982</c:v>
                </c:pt>
                <c:pt idx="195">
                  <c:v>1983</c:v>
                </c:pt>
                <c:pt idx="196">
                  <c:v>1984</c:v>
                </c:pt>
                <c:pt idx="197">
                  <c:v>1985</c:v>
                </c:pt>
                <c:pt idx="198">
                  <c:v>1986</c:v>
                </c:pt>
                <c:pt idx="199">
                  <c:v>1987</c:v>
                </c:pt>
                <c:pt idx="200">
                  <c:v>1988</c:v>
                </c:pt>
                <c:pt idx="201">
                  <c:v>1989</c:v>
                </c:pt>
                <c:pt idx="202">
                  <c:v>1990</c:v>
                </c:pt>
                <c:pt idx="203">
                  <c:v>1991</c:v>
                </c:pt>
                <c:pt idx="204">
                  <c:v>1992</c:v>
                </c:pt>
                <c:pt idx="205">
                  <c:v>1993</c:v>
                </c:pt>
                <c:pt idx="206">
                  <c:v>1994</c:v>
                </c:pt>
                <c:pt idx="207">
                  <c:v>1995</c:v>
                </c:pt>
                <c:pt idx="208">
                  <c:v>1996</c:v>
                </c:pt>
                <c:pt idx="209">
                  <c:v>1997</c:v>
                </c:pt>
                <c:pt idx="210">
                  <c:v>1998</c:v>
                </c:pt>
                <c:pt idx="211">
                  <c:v>1999</c:v>
                </c:pt>
                <c:pt idx="212">
                  <c:v>2000</c:v>
                </c:pt>
                <c:pt idx="213">
                  <c:v>2001</c:v>
                </c:pt>
                <c:pt idx="214">
                  <c:v>2002</c:v>
                </c:pt>
                <c:pt idx="215">
                  <c:v>2003</c:v>
                </c:pt>
                <c:pt idx="216">
                  <c:v>2004</c:v>
                </c:pt>
              </c:numCache>
            </c:numRef>
          </c:xVal>
          <c:yVal>
            <c:numRef>
              <c:f>'Example data'!$D$2:$D$218</c:f>
              <c:numCache>
                <c:formatCode>General</c:formatCode>
                <c:ptCount val="2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20.380780000000001</c:v>
                </c:pt>
                <c:pt idx="133">
                  <c:v>20.4619</c:v>
                </c:pt>
                <c:pt idx="134">
                  <c:v>20.628959999999999</c:v>
                </c:pt>
                <c:pt idx="135">
                  <c:v>20.77206</c:v>
                </c:pt>
                <c:pt idx="136">
                  <c:v>20.897220000000001</c:v>
                </c:pt>
                <c:pt idx="137">
                  <c:v>21.00844</c:v>
                </c:pt>
                <c:pt idx="138">
                  <c:v>21.122039999999998</c:v>
                </c:pt>
                <c:pt idx="139">
                  <c:v>21.26559</c:v>
                </c:pt>
                <c:pt idx="140">
                  <c:v>21.39621</c:v>
                </c:pt>
                <c:pt idx="141">
                  <c:v>21.538630000000001</c:v>
                </c:pt>
                <c:pt idx="142">
                  <c:v>21.627479999999998</c:v>
                </c:pt>
                <c:pt idx="143">
                  <c:v>21.671050000000001</c:v>
                </c:pt>
                <c:pt idx="144">
                  <c:v>21.67492</c:v>
                </c:pt>
                <c:pt idx="145">
                  <c:v>21.701589999999999</c:v>
                </c:pt>
                <c:pt idx="146">
                  <c:v>21.752890000000001</c:v>
                </c:pt>
                <c:pt idx="147">
                  <c:v>21.76707</c:v>
                </c:pt>
                <c:pt idx="148">
                  <c:v>21.8611</c:v>
                </c:pt>
                <c:pt idx="149">
                  <c:v>21.97317</c:v>
                </c:pt>
                <c:pt idx="150">
                  <c:v>22.028890000000001</c:v>
                </c:pt>
                <c:pt idx="151">
                  <c:v>22.12445</c:v>
                </c:pt>
                <c:pt idx="152">
                  <c:v>22.052990000000001</c:v>
                </c:pt>
                <c:pt idx="153">
                  <c:v>22.017990000000001</c:v>
                </c:pt>
                <c:pt idx="154">
                  <c:v>22.006969999999999</c:v>
                </c:pt>
                <c:pt idx="155">
                  <c:v>21.995830000000002</c:v>
                </c:pt>
                <c:pt idx="156">
                  <c:v>21.81183</c:v>
                </c:pt>
                <c:pt idx="157">
                  <c:v>21.327580000000001</c:v>
                </c:pt>
                <c:pt idx="158">
                  <c:v>22.031600000000001</c:v>
                </c:pt>
                <c:pt idx="159">
                  <c:v>22.25798</c:v>
                </c:pt>
                <c:pt idx="160">
                  <c:v>22.442460000000001</c:v>
                </c:pt>
                <c:pt idx="161">
                  <c:v>22.570139999999999</c:v>
                </c:pt>
                <c:pt idx="162">
                  <c:v>22.727450000000001</c:v>
                </c:pt>
                <c:pt idx="163">
                  <c:v>22.79139</c:v>
                </c:pt>
                <c:pt idx="164">
                  <c:v>22.875029999999999</c:v>
                </c:pt>
                <c:pt idx="165">
                  <c:v>22.985029999999998</c:v>
                </c:pt>
                <c:pt idx="166">
                  <c:v>23.084119999999999</c:v>
                </c:pt>
                <c:pt idx="167">
                  <c:v>23.13918</c:v>
                </c:pt>
                <c:pt idx="168">
                  <c:v>23.248989999999999</c:v>
                </c:pt>
                <c:pt idx="169">
                  <c:v>23.318519999999999</c:v>
                </c:pt>
                <c:pt idx="170">
                  <c:v>23.355149999999998</c:v>
                </c:pt>
                <c:pt idx="171">
                  <c:v>23.431319999999999</c:v>
                </c:pt>
                <c:pt idx="172">
                  <c:v>23.526630000000001</c:v>
                </c:pt>
                <c:pt idx="173">
                  <c:v>23.591170000000002</c:v>
                </c:pt>
                <c:pt idx="174">
                  <c:v>23.68337</c:v>
                </c:pt>
                <c:pt idx="175">
                  <c:v>23.767790000000002</c:v>
                </c:pt>
                <c:pt idx="176">
                  <c:v>23.85876</c:v>
                </c:pt>
                <c:pt idx="177">
                  <c:v>23.942139999999998</c:v>
                </c:pt>
                <c:pt idx="178">
                  <c:v>24.05189</c:v>
                </c:pt>
                <c:pt idx="179">
                  <c:v>24.127790000000001</c:v>
                </c:pt>
                <c:pt idx="180">
                  <c:v>24.23779</c:v>
                </c:pt>
                <c:pt idx="181">
                  <c:v>24.336880000000001</c:v>
                </c:pt>
                <c:pt idx="182">
                  <c:v>24.4344</c:v>
                </c:pt>
                <c:pt idx="183">
                  <c:v>24.527699999999999</c:v>
                </c:pt>
                <c:pt idx="184">
                  <c:v>24.62726</c:v>
                </c:pt>
                <c:pt idx="185">
                  <c:v>24.685980000000001</c:v>
                </c:pt>
                <c:pt idx="186">
                  <c:v>24.737850000000002</c:v>
                </c:pt>
                <c:pt idx="187">
                  <c:v>24.717790000000001</c:v>
                </c:pt>
                <c:pt idx="188">
                  <c:v>24.785430000000002</c:v>
                </c:pt>
                <c:pt idx="189">
                  <c:v>24.788869999999999</c:v>
                </c:pt>
                <c:pt idx="190">
                  <c:v>24.84393</c:v>
                </c:pt>
                <c:pt idx="191">
                  <c:v>24.88993</c:v>
                </c:pt>
                <c:pt idx="192">
                  <c:v>24.894570000000002</c:v>
                </c:pt>
                <c:pt idx="193">
                  <c:v>24.883710000000001</c:v>
                </c:pt>
                <c:pt idx="194">
                  <c:v>24.822600000000001</c:v>
                </c:pt>
                <c:pt idx="195">
                  <c:v>24.810919999999999</c:v>
                </c:pt>
                <c:pt idx="196">
                  <c:v>24.863219999999998</c:v>
                </c:pt>
                <c:pt idx="197">
                  <c:v>24.864809999999999</c:v>
                </c:pt>
                <c:pt idx="198">
                  <c:v>24.93094</c:v>
                </c:pt>
                <c:pt idx="199">
                  <c:v>24.948640000000001</c:v>
                </c:pt>
                <c:pt idx="200">
                  <c:v>24.96603</c:v>
                </c:pt>
                <c:pt idx="201">
                  <c:v>25.013729999999999</c:v>
                </c:pt>
                <c:pt idx="202">
                  <c:v>24.998539999999998</c:v>
                </c:pt>
                <c:pt idx="203">
                  <c:v>25.031379999999999</c:v>
                </c:pt>
                <c:pt idx="204">
                  <c:v>25.068370000000002</c:v>
                </c:pt>
                <c:pt idx="205">
                  <c:v>25.06447</c:v>
                </c:pt>
                <c:pt idx="206">
                  <c:v>25.100280000000001</c:v>
                </c:pt>
                <c:pt idx="207">
                  <c:v>25.117719999999998</c:v>
                </c:pt>
                <c:pt idx="208">
                  <c:v>25.167090000000002</c:v>
                </c:pt>
                <c:pt idx="209">
                  <c:v>25.184570000000001</c:v>
                </c:pt>
                <c:pt idx="210">
                  <c:v>25.236319999999999</c:v>
                </c:pt>
                <c:pt idx="211">
                  <c:v>25.188020000000002</c:v>
                </c:pt>
                <c:pt idx="212">
                  <c:v>25.218620000000001</c:v>
                </c:pt>
                <c:pt idx="213">
                  <c:v>25.263359999999999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</c:numCache>
            </c:numRef>
          </c:yVal>
        </c:ser>
        <c:ser>
          <c:idx val="5"/>
          <c:order val="3"/>
          <c:tx>
            <c:strRef>
              <c:f>'Example data'!$G$1</c:f>
              <c:strCache>
                <c:ptCount val="1"/>
                <c:pt idx="0">
                  <c:v>United States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'Example data'!$A$2:$A$218</c:f>
              <c:numCache>
                <c:formatCode>General</c:formatCode>
                <c:ptCount val="217"/>
                <c:pt idx="0">
                  <c:v>1788</c:v>
                </c:pt>
                <c:pt idx="1">
                  <c:v>1789</c:v>
                </c:pt>
                <c:pt idx="2">
                  <c:v>1790</c:v>
                </c:pt>
                <c:pt idx="3">
                  <c:v>1791</c:v>
                </c:pt>
                <c:pt idx="4">
                  <c:v>1792</c:v>
                </c:pt>
                <c:pt idx="5">
                  <c:v>1793</c:v>
                </c:pt>
                <c:pt idx="6">
                  <c:v>1794</c:v>
                </c:pt>
                <c:pt idx="7">
                  <c:v>1795</c:v>
                </c:pt>
                <c:pt idx="8">
                  <c:v>1796</c:v>
                </c:pt>
                <c:pt idx="9">
                  <c:v>1797</c:v>
                </c:pt>
                <c:pt idx="10">
                  <c:v>1798</c:v>
                </c:pt>
                <c:pt idx="11">
                  <c:v>1799</c:v>
                </c:pt>
                <c:pt idx="12">
                  <c:v>1800</c:v>
                </c:pt>
                <c:pt idx="13">
                  <c:v>1801</c:v>
                </c:pt>
                <c:pt idx="14">
                  <c:v>1802</c:v>
                </c:pt>
                <c:pt idx="15">
                  <c:v>1803</c:v>
                </c:pt>
                <c:pt idx="16">
                  <c:v>1804</c:v>
                </c:pt>
                <c:pt idx="17">
                  <c:v>1805</c:v>
                </c:pt>
                <c:pt idx="18">
                  <c:v>1806</c:v>
                </c:pt>
                <c:pt idx="19">
                  <c:v>1807</c:v>
                </c:pt>
                <c:pt idx="20">
                  <c:v>1808</c:v>
                </c:pt>
                <c:pt idx="21">
                  <c:v>1809</c:v>
                </c:pt>
                <c:pt idx="22">
                  <c:v>1810</c:v>
                </c:pt>
                <c:pt idx="23">
                  <c:v>1811</c:v>
                </c:pt>
                <c:pt idx="24">
                  <c:v>1812</c:v>
                </c:pt>
                <c:pt idx="25">
                  <c:v>1813</c:v>
                </c:pt>
                <c:pt idx="26">
                  <c:v>1814</c:v>
                </c:pt>
                <c:pt idx="27">
                  <c:v>1815</c:v>
                </c:pt>
                <c:pt idx="28">
                  <c:v>1816</c:v>
                </c:pt>
                <c:pt idx="29">
                  <c:v>1817</c:v>
                </c:pt>
                <c:pt idx="30">
                  <c:v>1818</c:v>
                </c:pt>
                <c:pt idx="31">
                  <c:v>1819</c:v>
                </c:pt>
                <c:pt idx="32">
                  <c:v>1820</c:v>
                </c:pt>
                <c:pt idx="33">
                  <c:v>1821</c:v>
                </c:pt>
                <c:pt idx="34">
                  <c:v>1822</c:v>
                </c:pt>
                <c:pt idx="35">
                  <c:v>1823</c:v>
                </c:pt>
                <c:pt idx="36">
                  <c:v>1824</c:v>
                </c:pt>
                <c:pt idx="37">
                  <c:v>1825</c:v>
                </c:pt>
                <c:pt idx="38">
                  <c:v>1826</c:v>
                </c:pt>
                <c:pt idx="39">
                  <c:v>1827</c:v>
                </c:pt>
                <c:pt idx="40">
                  <c:v>1828</c:v>
                </c:pt>
                <c:pt idx="41">
                  <c:v>1829</c:v>
                </c:pt>
                <c:pt idx="42">
                  <c:v>1830</c:v>
                </c:pt>
                <c:pt idx="43">
                  <c:v>1831</c:v>
                </c:pt>
                <c:pt idx="44">
                  <c:v>1832</c:v>
                </c:pt>
                <c:pt idx="45">
                  <c:v>1833</c:v>
                </c:pt>
                <c:pt idx="46">
                  <c:v>1834</c:v>
                </c:pt>
                <c:pt idx="47">
                  <c:v>1835</c:v>
                </c:pt>
                <c:pt idx="48">
                  <c:v>1836</c:v>
                </c:pt>
                <c:pt idx="49">
                  <c:v>1837</c:v>
                </c:pt>
                <c:pt idx="50">
                  <c:v>1838</c:v>
                </c:pt>
                <c:pt idx="51">
                  <c:v>1839</c:v>
                </c:pt>
                <c:pt idx="52">
                  <c:v>1840</c:v>
                </c:pt>
                <c:pt idx="53">
                  <c:v>1841</c:v>
                </c:pt>
                <c:pt idx="54">
                  <c:v>1842</c:v>
                </c:pt>
                <c:pt idx="55">
                  <c:v>1843</c:v>
                </c:pt>
                <c:pt idx="56">
                  <c:v>1844</c:v>
                </c:pt>
                <c:pt idx="57">
                  <c:v>1845</c:v>
                </c:pt>
                <c:pt idx="58">
                  <c:v>1846</c:v>
                </c:pt>
                <c:pt idx="59">
                  <c:v>1847</c:v>
                </c:pt>
                <c:pt idx="60">
                  <c:v>1848</c:v>
                </c:pt>
                <c:pt idx="61">
                  <c:v>1849</c:v>
                </c:pt>
                <c:pt idx="62">
                  <c:v>1850</c:v>
                </c:pt>
                <c:pt idx="63">
                  <c:v>1851</c:v>
                </c:pt>
                <c:pt idx="64">
                  <c:v>1852</c:v>
                </c:pt>
                <c:pt idx="65">
                  <c:v>1853</c:v>
                </c:pt>
                <c:pt idx="66">
                  <c:v>1854</c:v>
                </c:pt>
                <c:pt idx="67">
                  <c:v>1855</c:v>
                </c:pt>
                <c:pt idx="68">
                  <c:v>1856</c:v>
                </c:pt>
                <c:pt idx="69">
                  <c:v>1857</c:v>
                </c:pt>
                <c:pt idx="70">
                  <c:v>1858</c:v>
                </c:pt>
                <c:pt idx="71">
                  <c:v>1859</c:v>
                </c:pt>
                <c:pt idx="72">
                  <c:v>1860</c:v>
                </c:pt>
                <c:pt idx="73">
                  <c:v>1861</c:v>
                </c:pt>
                <c:pt idx="74">
                  <c:v>1862</c:v>
                </c:pt>
                <c:pt idx="75">
                  <c:v>1863</c:v>
                </c:pt>
                <c:pt idx="76">
                  <c:v>1864</c:v>
                </c:pt>
                <c:pt idx="77">
                  <c:v>1865</c:v>
                </c:pt>
                <c:pt idx="78">
                  <c:v>1866</c:v>
                </c:pt>
                <c:pt idx="79">
                  <c:v>1867</c:v>
                </c:pt>
                <c:pt idx="80">
                  <c:v>1868</c:v>
                </c:pt>
                <c:pt idx="81">
                  <c:v>1869</c:v>
                </c:pt>
                <c:pt idx="82">
                  <c:v>1870</c:v>
                </c:pt>
                <c:pt idx="83">
                  <c:v>1871</c:v>
                </c:pt>
                <c:pt idx="84">
                  <c:v>1872</c:v>
                </c:pt>
                <c:pt idx="85">
                  <c:v>1873</c:v>
                </c:pt>
                <c:pt idx="86">
                  <c:v>1874</c:v>
                </c:pt>
                <c:pt idx="87">
                  <c:v>1875</c:v>
                </c:pt>
                <c:pt idx="88">
                  <c:v>1876</c:v>
                </c:pt>
                <c:pt idx="89">
                  <c:v>1877</c:v>
                </c:pt>
                <c:pt idx="90">
                  <c:v>1878</c:v>
                </c:pt>
                <c:pt idx="91">
                  <c:v>1879</c:v>
                </c:pt>
                <c:pt idx="92">
                  <c:v>1880</c:v>
                </c:pt>
                <c:pt idx="93">
                  <c:v>1881</c:v>
                </c:pt>
                <c:pt idx="94">
                  <c:v>1882</c:v>
                </c:pt>
                <c:pt idx="95">
                  <c:v>1883</c:v>
                </c:pt>
                <c:pt idx="96">
                  <c:v>1884</c:v>
                </c:pt>
                <c:pt idx="97">
                  <c:v>1885</c:v>
                </c:pt>
                <c:pt idx="98">
                  <c:v>1886</c:v>
                </c:pt>
                <c:pt idx="99">
                  <c:v>1887</c:v>
                </c:pt>
                <c:pt idx="100">
                  <c:v>1888</c:v>
                </c:pt>
                <c:pt idx="101">
                  <c:v>1889</c:v>
                </c:pt>
                <c:pt idx="102">
                  <c:v>1890</c:v>
                </c:pt>
                <c:pt idx="103">
                  <c:v>1891</c:v>
                </c:pt>
                <c:pt idx="104">
                  <c:v>1892</c:v>
                </c:pt>
                <c:pt idx="105">
                  <c:v>1893</c:v>
                </c:pt>
                <c:pt idx="106">
                  <c:v>1894</c:v>
                </c:pt>
                <c:pt idx="107">
                  <c:v>1895</c:v>
                </c:pt>
                <c:pt idx="108">
                  <c:v>1896</c:v>
                </c:pt>
                <c:pt idx="109">
                  <c:v>1897</c:v>
                </c:pt>
                <c:pt idx="110">
                  <c:v>1898</c:v>
                </c:pt>
                <c:pt idx="111">
                  <c:v>1899</c:v>
                </c:pt>
                <c:pt idx="112">
                  <c:v>1900</c:v>
                </c:pt>
                <c:pt idx="113">
                  <c:v>1901</c:v>
                </c:pt>
                <c:pt idx="114">
                  <c:v>1902</c:v>
                </c:pt>
                <c:pt idx="115">
                  <c:v>1903</c:v>
                </c:pt>
                <c:pt idx="116">
                  <c:v>1904</c:v>
                </c:pt>
                <c:pt idx="117">
                  <c:v>1905</c:v>
                </c:pt>
                <c:pt idx="118">
                  <c:v>1906</c:v>
                </c:pt>
                <c:pt idx="119">
                  <c:v>1907</c:v>
                </c:pt>
                <c:pt idx="120">
                  <c:v>1908</c:v>
                </c:pt>
                <c:pt idx="121">
                  <c:v>1909</c:v>
                </c:pt>
                <c:pt idx="122">
                  <c:v>1910</c:v>
                </c:pt>
                <c:pt idx="123">
                  <c:v>1911</c:v>
                </c:pt>
                <c:pt idx="124">
                  <c:v>1912</c:v>
                </c:pt>
                <c:pt idx="125">
                  <c:v>1913</c:v>
                </c:pt>
                <c:pt idx="126">
                  <c:v>1914</c:v>
                </c:pt>
                <c:pt idx="127">
                  <c:v>1915</c:v>
                </c:pt>
                <c:pt idx="128">
                  <c:v>1916</c:v>
                </c:pt>
                <c:pt idx="129">
                  <c:v>1917</c:v>
                </c:pt>
                <c:pt idx="130">
                  <c:v>1918</c:v>
                </c:pt>
                <c:pt idx="131">
                  <c:v>1919</c:v>
                </c:pt>
                <c:pt idx="132">
                  <c:v>1920</c:v>
                </c:pt>
                <c:pt idx="133">
                  <c:v>1921</c:v>
                </c:pt>
                <c:pt idx="134">
                  <c:v>1922</c:v>
                </c:pt>
                <c:pt idx="135">
                  <c:v>1923</c:v>
                </c:pt>
                <c:pt idx="136">
                  <c:v>1924</c:v>
                </c:pt>
                <c:pt idx="137">
                  <c:v>1925</c:v>
                </c:pt>
                <c:pt idx="138">
                  <c:v>1926</c:v>
                </c:pt>
                <c:pt idx="139">
                  <c:v>1927</c:v>
                </c:pt>
                <c:pt idx="140">
                  <c:v>1928</c:v>
                </c:pt>
                <c:pt idx="141">
                  <c:v>1929</c:v>
                </c:pt>
                <c:pt idx="142">
                  <c:v>1930</c:v>
                </c:pt>
                <c:pt idx="143">
                  <c:v>1931</c:v>
                </c:pt>
                <c:pt idx="144">
                  <c:v>1932</c:v>
                </c:pt>
                <c:pt idx="145">
                  <c:v>1933</c:v>
                </c:pt>
                <c:pt idx="146">
                  <c:v>1934</c:v>
                </c:pt>
                <c:pt idx="147">
                  <c:v>1935</c:v>
                </c:pt>
                <c:pt idx="148">
                  <c:v>1936</c:v>
                </c:pt>
                <c:pt idx="149">
                  <c:v>1937</c:v>
                </c:pt>
                <c:pt idx="150">
                  <c:v>1938</c:v>
                </c:pt>
                <c:pt idx="151">
                  <c:v>1939</c:v>
                </c:pt>
                <c:pt idx="152">
                  <c:v>1940</c:v>
                </c:pt>
                <c:pt idx="153">
                  <c:v>1941</c:v>
                </c:pt>
                <c:pt idx="154">
                  <c:v>1942</c:v>
                </c:pt>
                <c:pt idx="155">
                  <c:v>1943</c:v>
                </c:pt>
                <c:pt idx="156">
                  <c:v>1944</c:v>
                </c:pt>
                <c:pt idx="157">
                  <c:v>1945</c:v>
                </c:pt>
                <c:pt idx="158">
                  <c:v>1946</c:v>
                </c:pt>
                <c:pt idx="159">
                  <c:v>1947</c:v>
                </c:pt>
                <c:pt idx="160">
                  <c:v>1948</c:v>
                </c:pt>
                <c:pt idx="161">
                  <c:v>1949</c:v>
                </c:pt>
                <c:pt idx="162">
                  <c:v>1950</c:v>
                </c:pt>
                <c:pt idx="163">
                  <c:v>1951</c:v>
                </c:pt>
                <c:pt idx="164">
                  <c:v>1952</c:v>
                </c:pt>
                <c:pt idx="165">
                  <c:v>1953</c:v>
                </c:pt>
                <c:pt idx="166">
                  <c:v>1954</c:v>
                </c:pt>
                <c:pt idx="167">
                  <c:v>1955</c:v>
                </c:pt>
                <c:pt idx="168">
                  <c:v>1956</c:v>
                </c:pt>
                <c:pt idx="169">
                  <c:v>1957</c:v>
                </c:pt>
                <c:pt idx="170">
                  <c:v>1958</c:v>
                </c:pt>
                <c:pt idx="171">
                  <c:v>1959</c:v>
                </c:pt>
                <c:pt idx="172">
                  <c:v>1960</c:v>
                </c:pt>
                <c:pt idx="173">
                  <c:v>1961</c:v>
                </c:pt>
                <c:pt idx="174">
                  <c:v>1962</c:v>
                </c:pt>
                <c:pt idx="175">
                  <c:v>1963</c:v>
                </c:pt>
                <c:pt idx="176">
                  <c:v>1964</c:v>
                </c:pt>
                <c:pt idx="177">
                  <c:v>1965</c:v>
                </c:pt>
                <c:pt idx="178">
                  <c:v>1966</c:v>
                </c:pt>
                <c:pt idx="179">
                  <c:v>1967</c:v>
                </c:pt>
                <c:pt idx="180">
                  <c:v>1968</c:v>
                </c:pt>
                <c:pt idx="181">
                  <c:v>1969</c:v>
                </c:pt>
                <c:pt idx="182">
                  <c:v>1970</c:v>
                </c:pt>
                <c:pt idx="183">
                  <c:v>1971</c:v>
                </c:pt>
                <c:pt idx="184">
                  <c:v>1972</c:v>
                </c:pt>
                <c:pt idx="185">
                  <c:v>1973</c:v>
                </c:pt>
                <c:pt idx="186">
                  <c:v>1974</c:v>
                </c:pt>
                <c:pt idx="187">
                  <c:v>1975</c:v>
                </c:pt>
                <c:pt idx="188">
                  <c:v>1976</c:v>
                </c:pt>
                <c:pt idx="189">
                  <c:v>1977</c:v>
                </c:pt>
                <c:pt idx="190">
                  <c:v>1978</c:v>
                </c:pt>
                <c:pt idx="191">
                  <c:v>1979</c:v>
                </c:pt>
                <c:pt idx="192">
                  <c:v>1980</c:v>
                </c:pt>
                <c:pt idx="193">
                  <c:v>1981</c:v>
                </c:pt>
                <c:pt idx="194">
                  <c:v>1982</c:v>
                </c:pt>
                <c:pt idx="195">
                  <c:v>1983</c:v>
                </c:pt>
                <c:pt idx="196">
                  <c:v>1984</c:v>
                </c:pt>
                <c:pt idx="197">
                  <c:v>1985</c:v>
                </c:pt>
                <c:pt idx="198">
                  <c:v>1986</c:v>
                </c:pt>
                <c:pt idx="199">
                  <c:v>1987</c:v>
                </c:pt>
                <c:pt idx="200">
                  <c:v>1988</c:v>
                </c:pt>
                <c:pt idx="201">
                  <c:v>1989</c:v>
                </c:pt>
                <c:pt idx="202">
                  <c:v>1990</c:v>
                </c:pt>
                <c:pt idx="203">
                  <c:v>1991</c:v>
                </c:pt>
                <c:pt idx="204">
                  <c:v>1992</c:v>
                </c:pt>
                <c:pt idx="205">
                  <c:v>1993</c:v>
                </c:pt>
                <c:pt idx="206">
                  <c:v>1994</c:v>
                </c:pt>
                <c:pt idx="207">
                  <c:v>1995</c:v>
                </c:pt>
                <c:pt idx="208">
                  <c:v>1996</c:v>
                </c:pt>
                <c:pt idx="209">
                  <c:v>1997</c:v>
                </c:pt>
                <c:pt idx="210">
                  <c:v>1998</c:v>
                </c:pt>
                <c:pt idx="211">
                  <c:v>1999</c:v>
                </c:pt>
                <c:pt idx="212">
                  <c:v>2000</c:v>
                </c:pt>
                <c:pt idx="213">
                  <c:v>2001</c:v>
                </c:pt>
                <c:pt idx="214">
                  <c:v>2002</c:v>
                </c:pt>
                <c:pt idx="215">
                  <c:v>2003</c:v>
                </c:pt>
                <c:pt idx="216">
                  <c:v>2004</c:v>
                </c:pt>
              </c:numCache>
            </c:numRef>
          </c:xVal>
          <c:yVal>
            <c:numRef>
              <c:f>'Example data'!$G$2:$G$218</c:f>
              <c:numCache>
                <c:formatCode>General</c:formatCode>
                <c:ptCount val="2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22.510010000000001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23.369440000000001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23.93411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24.49372</c:v>
                </c:pt>
                <c:pt idx="130">
                  <c:v>#N/A</c:v>
                </c:pt>
                <c:pt idx="131">
                  <c:v>#N/A</c:v>
                </c:pt>
                <c:pt idx="132">
                  <c:v>24.75928</c:v>
                </c:pt>
                <c:pt idx="133">
                  <c:v>24.695440000000001</c:v>
                </c:pt>
                <c:pt idx="134">
                  <c:v>24.837409999999998</c:v>
                </c:pt>
                <c:pt idx="135">
                  <c:v>24.99156</c:v>
                </c:pt>
                <c:pt idx="136">
                  <c:v>25.052679999999999</c:v>
                </c:pt>
                <c:pt idx="137">
                  <c:v>25.162379999999999</c:v>
                </c:pt>
                <c:pt idx="138">
                  <c:v>25.269749999999998</c:v>
                </c:pt>
                <c:pt idx="139">
                  <c:v>25.33839</c:v>
                </c:pt>
                <c:pt idx="140">
                  <c:v>25.4054</c:v>
                </c:pt>
                <c:pt idx="141">
                  <c:v>25.485440000000001</c:v>
                </c:pt>
                <c:pt idx="142">
                  <c:v>25.4682</c:v>
                </c:pt>
                <c:pt idx="143">
                  <c:v>25.41461</c:v>
                </c:pt>
                <c:pt idx="144">
                  <c:v>25.323419999999999</c:v>
                </c:pt>
                <c:pt idx="145">
                  <c:v>25.357990000000001</c:v>
                </c:pt>
                <c:pt idx="146">
                  <c:v>25.4328</c:v>
                </c:pt>
                <c:pt idx="147">
                  <c:v>25.502389999999998</c:v>
                </c:pt>
                <c:pt idx="148">
                  <c:v>25.635919999999999</c:v>
                </c:pt>
                <c:pt idx="149">
                  <c:v>25.713699999999999</c:v>
                </c:pt>
                <c:pt idx="150">
                  <c:v>25.679089999999999</c:v>
                </c:pt>
                <c:pt idx="151">
                  <c:v>25.804670000000002</c:v>
                </c:pt>
                <c:pt idx="152">
                  <c:v>25.916219999999999</c:v>
                </c:pt>
                <c:pt idx="153">
                  <c:v>26.0656</c:v>
                </c:pt>
                <c:pt idx="154">
                  <c:v>26.174299999999999</c:v>
                </c:pt>
                <c:pt idx="155">
                  <c:v>26.314250000000001</c:v>
                </c:pt>
                <c:pt idx="156">
                  <c:v>26.358059999999998</c:v>
                </c:pt>
                <c:pt idx="157">
                  <c:v>26.329070000000002</c:v>
                </c:pt>
                <c:pt idx="158">
                  <c:v>26.32169</c:v>
                </c:pt>
                <c:pt idx="159">
                  <c:v>26.45337</c:v>
                </c:pt>
                <c:pt idx="160">
                  <c:v>26.54335</c:v>
                </c:pt>
                <c:pt idx="161">
                  <c:v>26.569700000000001</c:v>
                </c:pt>
                <c:pt idx="162">
                  <c:v>26.68685</c:v>
                </c:pt>
                <c:pt idx="163">
                  <c:v>26.796309999999998</c:v>
                </c:pt>
                <c:pt idx="164">
                  <c:v>26.863150000000001</c:v>
                </c:pt>
                <c:pt idx="165">
                  <c:v>26.96743</c:v>
                </c:pt>
                <c:pt idx="166">
                  <c:v>27.024049999999999</c:v>
                </c:pt>
                <c:pt idx="167">
                  <c:v>27.168990000000001</c:v>
                </c:pt>
                <c:pt idx="168">
                  <c:v>27.25414</c:v>
                </c:pt>
                <c:pt idx="169">
                  <c:v>27.29834</c:v>
                </c:pt>
                <c:pt idx="170">
                  <c:v>27.31082</c:v>
                </c:pt>
                <c:pt idx="171">
                  <c:v>27.40663</c:v>
                </c:pt>
                <c:pt idx="172">
                  <c:v>27.462599999999998</c:v>
                </c:pt>
                <c:pt idx="173">
                  <c:v>27.50432</c:v>
                </c:pt>
                <c:pt idx="174">
                  <c:v>27.576560000000001</c:v>
                </c:pt>
                <c:pt idx="175">
                  <c:v>27.640969999999999</c:v>
                </c:pt>
                <c:pt idx="176">
                  <c:v>27.707979999999999</c:v>
                </c:pt>
                <c:pt idx="177">
                  <c:v>27.779440000000001</c:v>
                </c:pt>
                <c:pt idx="178">
                  <c:v>27.85416</c:v>
                </c:pt>
                <c:pt idx="179">
                  <c:v>27.908650000000002</c:v>
                </c:pt>
                <c:pt idx="180">
                  <c:v>27.995660000000001</c:v>
                </c:pt>
                <c:pt idx="181">
                  <c:v>28.069279999999999</c:v>
                </c:pt>
                <c:pt idx="182">
                  <c:v>28.125720000000001</c:v>
                </c:pt>
                <c:pt idx="183">
                  <c:v>28.173349999999999</c:v>
                </c:pt>
                <c:pt idx="184">
                  <c:v>28.246210000000001</c:v>
                </c:pt>
                <c:pt idx="185">
                  <c:v>28.30397</c:v>
                </c:pt>
                <c:pt idx="186">
                  <c:v>28.309059999999999</c:v>
                </c:pt>
                <c:pt idx="187">
                  <c:v>28.324169999999999</c:v>
                </c:pt>
                <c:pt idx="188">
                  <c:v>28.382439999999999</c:v>
                </c:pt>
                <c:pt idx="189">
                  <c:v>28.424009999999999</c:v>
                </c:pt>
                <c:pt idx="190">
                  <c:v>28.459569999999999</c:v>
                </c:pt>
                <c:pt idx="191">
                  <c:v>28.47259</c:v>
                </c:pt>
                <c:pt idx="192">
                  <c:v>28.485440000000001</c:v>
                </c:pt>
                <c:pt idx="193">
                  <c:v>28.48968</c:v>
                </c:pt>
                <c:pt idx="194">
                  <c:v>28.463930000000001</c:v>
                </c:pt>
                <c:pt idx="195">
                  <c:v>28.49391</c:v>
                </c:pt>
                <c:pt idx="196">
                  <c:v>28.539280000000002</c:v>
                </c:pt>
                <c:pt idx="197">
                  <c:v>28.574929999999998</c:v>
                </c:pt>
                <c:pt idx="198">
                  <c:v>28.58653</c:v>
                </c:pt>
                <c:pt idx="199">
                  <c:v>28.63165</c:v>
                </c:pt>
                <c:pt idx="200">
                  <c:v>28.678339999999999</c:v>
                </c:pt>
                <c:pt idx="201">
                  <c:v>28.719580000000001</c:v>
                </c:pt>
                <c:pt idx="202">
                  <c:v>28.67483</c:v>
                </c:pt>
                <c:pt idx="203">
                  <c:v>28.752700000000001</c:v>
                </c:pt>
                <c:pt idx="204">
                  <c:v>28.765640000000001</c:v>
                </c:pt>
                <c:pt idx="205">
                  <c:v>28.794170000000001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</c:numCache>
            </c:numRef>
          </c:yVal>
        </c:ser>
        <c:axId val="115738112"/>
        <c:axId val="115739648"/>
      </c:scatterChart>
      <c:valAx>
        <c:axId val="115738112"/>
        <c:scaling>
          <c:orientation val="minMax"/>
          <c:min val="1890"/>
        </c:scaling>
        <c:axPos val="b"/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crossAx val="115739648"/>
        <c:crosses val="autoZero"/>
        <c:crossBetween val="midCat"/>
      </c:valAx>
      <c:valAx>
        <c:axId val="115739648"/>
        <c:scaling>
          <c:orientation val="minMax"/>
          <c:max val="30"/>
          <c:min val="15"/>
        </c:scaling>
        <c:axPos val="l"/>
        <c:numFmt formatCode="General" sourceLinked="1"/>
        <c:tickLblPos val="nextTo"/>
        <c:spPr>
          <a:ln>
            <a:solidFill>
              <a:schemeClr val="tx1"/>
            </a:solidFill>
          </a:ln>
        </c:spPr>
        <c:crossAx val="115738112"/>
        <c:crosses val="autoZero"/>
        <c:crossBetween val="midCat"/>
      </c:valAx>
    </c:plotArea>
    <c:plotVisOnly val="1"/>
  </c:chart>
  <c:spPr>
    <a:noFill/>
    <a:ln>
      <a:noFill/>
    </a:ln>
  </c:spPr>
  <c:txPr>
    <a:bodyPr/>
    <a:lstStyle/>
    <a:p>
      <a:pPr>
        <a:defRPr sz="1600">
          <a:latin typeface="Times New Roman" pitchFamily="18" charset="0"/>
          <a:cs typeface="Times New Roman" pitchFamily="18" charset="0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99112097669257E-2"/>
          <c:y val="3.2626427406199046E-2"/>
          <c:w val="0.89123196448390651"/>
          <c:h val="0.88417618270799236"/>
        </c:manualLayout>
      </c:layout>
      <c:scatterChart>
        <c:scatterStyle val="smoothMarker"/>
        <c:ser>
          <c:idx val="0"/>
          <c:order val="0"/>
          <c:tx>
            <c:strRef>
              <c:f>'Fit data'!$B$1</c:f>
              <c:strCache>
                <c:ptCount val="1"/>
                <c:pt idx="0">
                  <c:v>US actual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'Fit data'!$A$2:$A$159</c:f>
              <c:numCache>
                <c:formatCode>General</c:formatCode>
                <c:ptCount val="158"/>
                <c:pt idx="0">
                  <c:v>1830</c:v>
                </c:pt>
                <c:pt idx="1">
                  <c:v>1831</c:v>
                </c:pt>
                <c:pt idx="2">
                  <c:v>1832</c:v>
                </c:pt>
                <c:pt idx="3">
                  <c:v>1833</c:v>
                </c:pt>
                <c:pt idx="4">
                  <c:v>1834</c:v>
                </c:pt>
                <c:pt idx="5">
                  <c:v>1835</c:v>
                </c:pt>
                <c:pt idx="6">
                  <c:v>1836</c:v>
                </c:pt>
                <c:pt idx="7">
                  <c:v>1837</c:v>
                </c:pt>
                <c:pt idx="8">
                  <c:v>1838</c:v>
                </c:pt>
                <c:pt idx="9">
                  <c:v>1839</c:v>
                </c:pt>
                <c:pt idx="10">
                  <c:v>1840</c:v>
                </c:pt>
                <c:pt idx="11">
                  <c:v>1841</c:v>
                </c:pt>
                <c:pt idx="12">
                  <c:v>1842</c:v>
                </c:pt>
                <c:pt idx="13">
                  <c:v>1843</c:v>
                </c:pt>
                <c:pt idx="14">
                  <c:v>1844</c:v>
                </c:pt>
                <c:pt idx="15">
                  <c:v>1845</c:v>
                </c:pt>
                <c:pt idx="16">
                  <c:v>1846</c:v>
                </c:pt>
                <c:pt idx="17">
                  <c:v>1847</c:v>
                </c:pt>
                <c:pt idx="18">
                  <c:v>1848</c:v>
                </c:pt>
                <c:pt idx="19">
                  <c:v>1849</c:v>
                </c:pt>
                <c:pt idx="20">
                  <c:v>1850</c:v>
                </c:pt>
                <c:pt idx="21">
                  <c:v>1851</c:v>
                </c:pt>
                <c:pt idx="22">
                  <c:v>1852</c:v>
                </c:pt>
                <c:pt idx="23">
                  <c:v>1853</c:v>
                </c:pt>
                <c:pt idx="24">
                  <c:v>1854</c:v>
                </c:pt>
                <c:pt idx="25">
                  <c:v>1855</c:v>
                </c:pt>
                <c:pt idx="26">
                  <c:v>1856</c:v>
                </c:pt>
                <c:pt idx="27">
                  <c:v>1857</c:v>
                </c:pt>
                <c:pt idx="28">
                  <c:v>1858</c:v>
                </c:pt>
                <c:pt idx="29">
                  <c:v>1859</c:v>
                </c:pt>
                <c:pt idx="30">
                  <c:v>1860</c:v>
                </c:pt>
                <c:pt idx="31">
                  <c:v>1861</c:v>
                </c:pt>
                <c:pt idx="32">
                  <c:v>1862</c:v>
                </c:pt>
                <c:pt idx="33">
                  <c:v>1863</c:v>
                </c:pt>
                <c:pt idx="34">
                  <c:v>1864</c:v>
                </c:pt>
                <c:pt idx="35">
                  <c:v>1865</c:v>
                </c:pt>
                <c:pt idx="36">
                  <c:v>1866</c:v>
                </c:pt>
                <c:pt idx="37">
                  <c:v>1867</c:v>
                </c:pt>
                <c:pt idx="38">
                  <c:v>1868</c:v>
                </c:pt>
                <c:pt idx="39">
                  <c:v>1869</c:v>
                </c:pt>
                <c:pt idx="40">
                  <c:v>1870</c:v>
                </c:pt>
                <c:pt idx="41">
                  <c:v>1871</c:v>
                </c:pt>
                <c:pt idx="42">
                  <c:v>1872</c:v>
                </c:pt>
                <c:pt idx="43">
                  <c:v>1873</c:v>
                </c:pt>
                <c:pt idx="44">
                  <c:v>1874</c:v>
                </c:pt>
                <c:pt idx="45">
                  <c:v>1875</c:v>
                </c:pt>
                <c:pt idx="46">
                  <c:v>1876</c:v>
                </c:pt>
                <c:pt idx="47">
                  <c:v>1877</c:v>
                </c:pt>
                <c:pt idx="48">
                  <c:v>1878</c:v>
                </c:pt>
                <c:pt idx="49">
                  <c:v>1879</c:v>
                </c:pt>
                <c:pt idx="50">
                  <c:v>1880</c:v>
                </c:pt>
                <c:pt idx="51">
                  <c:v>1881</c:v>
                </c:pt>
                <c:pt idx="52">
                  <c:v>1882</c:v>
                </c:pt>
                <c:pt idx="53">
                  <c:v>1883</c:v>
                </c:pt>
                <c:pt idx="54">
                  <c:v>1884</c:v>
                </c:pt>
                <c:pt idx="55">
                  <c:v>1885</c:v>
                </c:pt>
                <c:pt idx="56">
                  <c:v>1886</c:v>
                </c:pt>
                <c:pt idx="57">
                  <c:v>1887</c:v>
                </c:pt>
                <c:pt idx="58">
                  <c:v>1888</c:v>
                </c:pt>
                <c:pt idx="59">
                  <c:v>1889</c:v>
                </c:pt>
                <c:pt idx="60">
                  <c:v>1890</c:v>
                </c:pt>
                <c:pt idx="61">
                  <c:v>1891</c:v>
                </c:pt>
                <c:pt idx="62">
                  <c:v>1892</c:v>
                </c:pt>
                <c:pt idx="63">
                  <c:v>1893</c:v>
                </c:pt>
                <c:pt idx="64">
                  <c:v>1894</c:v>
                </c:pt>
                <c:pt idx="65">
                  <c:v>1895</c:v>
                </c:pt>
                <c:pt idx="66">
                  <c:v>1896</c:v>
                </c:pt>
                <c:pt idx="67">
                  <c:v>1897</c:v>
                </c:pt>
                <c:pt idx="68">
                  <c:v>1898</c:v>
                </c:pt>
                <c:pt idx="69">
                  <c:v>1899</c:v>
                </c:pt>
                <c:pt idx="70">
                  <c:v>1900</c:v>
                </c:pt>
                <c:pt idx="71">
                  <c:v>1901</c:v>
                </c:pt>
                <c:pt idx="72">
                  <c:v>1902</c:v>
                </c:pt>
                <c:pt idx="73">
                  <c:v>1903</c:v>
                </c:pt>
                <c:pt idx="74">
                  <c:v>1904</c:v>
                </c:pt>
                <c:pt idx="75">
                  <c:v>1905</c:v>
                </c:pt>
                <c:pt idx="76">
                  <c:v>1906</c:v>
                </c:pt>
                <c:pt idx="77">
                  <c:v>1907</c:v>
                </c:pt>
                <c:pt idx="78">
                  <c:v>1908</c:v>
                </c:pt>
                <c:pt idx="79">
                  <c:v>1909</c:v>
                </c:pt>
                <c:pt idx="80">
                  <c:v>1910</c:v>
                </c:pt>
                <c:pt idx="81">
                  <c:v>1911</c:v>
                </c:pt>
                <c:pt idx="82">
                  <c:v>1912</c:v>
                </c:pt>
                <c:pt idx="83">
                  <c:v>1913</c:v>
                </c:pt>
                <c:pt idx="84">
                  <c:v>1914</c:v>
                </c:pt>
                <c:pt idx="85">
                  <c:v>1915</c:v>
                </c:pt>
                <c:pt idx="86">
                  <c:v>1916</c:v>
                </c:pt>
                <c:pt idx="87">
                  <c:v>1917</c:v>
                </c:pt>
                <c:pt idx="88">
                  <c:v>1918</c:v>
                </c:pt>
                <c:pt idx="89">
                  <c:v>1919</c:v>
                </c:pt>
                <c:pt idx="90">
                  <c:v>1920</c:v>
                </c:pt>
                <c:pt idx="91">
                  <c:v>1921</c:v>
                </c:pt>
                <c:pt idx="92">
                  <c:v>1922</c:v>
                </c:pt>
                <c:pt idx="93">
                  <c:v>1923</c:v>
                </c:pt>
                <c:pt idx="94">
                  <c:v>1924</c:v>
                </c:pt>
                <c:pt idx="95">
                  <c:v>1925</c:v>
                </c:pt>
                <c:pt idx="96">
                  <c:v>1926</c:v>
                </c:pt>
                <c:pt idx="97">
                  <c:v>1927</c:v>
                </c:pt>
                <c:pt idx="98">
                  <c:v>1928</c:v>
                </c:pt>
                <c:pt idx="99">
                  <c:v>1929</c:v>
                </c:pt>
                <c:pt idx="100">
                  <c:v>1930</c:v>
                </c:pt>
                <c:pt idx="101">
                  <c:v>1931</c:v>
                </c:pt>
                <c:pt idx="102">
                  <c:v>1932</c:v>
                </c:pt>
                <c:pt idx="103">
                  <c:v>1933</c:v>
                </c:pt>
                <c:pt idx="104">
                  <c:v>1934</c:v>
                </c:pt>
                <c:pt idx="105">
                  <c:v>1935</c:v>
                </c:pt>
                <c:pt idx="106">
                  <c:v>1936</c:v>
                </c:pt>
                <c:pt idx="107">
                  <c:v>1937</c:v>
                </c:pt>
                <c:pt idx="108">
                  <c:v>1938</c:v>
                </c:pt>
                <c:pt idx="109">
                  <c:v>1939</c:v>
                </c:pt>
                <c:pt idx="110">
                  <c:v>1940</c:v>
                </c:pt>
                <c:pt idx="111">
                  <c:v>1941</c:v>
                </c:pt>
                <c:pt idx="112">
                  <c:v>1942</c:v>
                </c:pt>
                <c:pt idx="113">
                  <c:v>1943</c:v>
                </c:pt>
                <c:pt idx="114">
                  <c:v>1944</c:v>
                </c:pt>
                <c:pt idx="115">
                  <c:v>1945</c:v>
                </c:pt>
                <c:pt idx="116">
                  <c:v>1946</c:v>
                </c:pt>
                <c:pt idx="117">
                  <c:v>1947</c:v>
                </c:pt>
                <c:pt idx="118">
                  <c:v>1948</c:v>
                </c:pt>
                <c:pt idx="119">
                  <c:v>1949</c:v>
                </c:pt>
                <c:pt idx="120">
                  <c:v>1950</c:v>
                </c:pt>
                <c:pt idx="121">
                  <c:v>1951</c:v>
                </c:pt>
                <c:pt idx="122">
                  <c:v>1952</c:v>
                </c:pt>
                <c:pt idx="123">
                  <c:v>1953</c:v>
                </c:pt>
                <c:pt idx="124">
                  <c:v>1954</c:v>
                </c:pt>
                <c:pt idx="125">
                  <c:v>1955</c:v>
                </c:pt>
                <c:pt idx="126">
                  <c:v>1956</c:v>
                </c:pt>
                <c:pt idx="127">
                  <c:v>1957</c:v>
                </c:pt>
                <c:pt idx="128">
                  <c:v>1958</c:v>
                </c:pt>
                <c:pt idx="129">
                  <c:v>1959</c:v>
                </c:pt>
                <c:pt idx="130">
                  <c:v>1960</c:v>
                </c:pt>
                <c:pt idx="131">
                  <c:v>1961</c:v>
                </c:pt>
                <c:pt idx="132">
                  <c:v>1962</c:v>
                </c:pt>
                <c:pt idx="133">
                  <c:v>1963</c:v>
                </c:pt>
                <c:pt idx="134">
                  <c:v>1964</c:v>
                </c:pt>
                <c:pt idx="135">
                  <c:v>1965</c:v>
                </c:pt>
                <c:pt idx="136">
                  <c:v>1966</c:v>
                </c:pt>
                <c:pt idx="137">
                  <c:v>1967</c:v>
                </c:pt>
                <c:pt idx="138">
                  <c:v>1968</c:v>
                </c:pt>
                <c:pt idx="139">
                  <c:v>1969</c:v>
                </c:pt>
                <c:pt idx="140">
                  <c:v>1970</c:v>
                </c:pt>
                <c:pt idx="141">
                  <c:v>1971</c:v>
                </c:pt>
                <c:pt idx="142">
                  <c:v>1972</c:v>
                </c:pt>
                <c:pt idx="143">
                  <c:v>1973</c:v>
                </c:pt>
                <c:pt idx="144">
                  <c:v>1974</c:v>
                </c:pt>
                <c:pt idx="145">
                  <c:v>1975</c:v>
                </c:pt>
                <c:pt idx="146">
                  <c:v>1976</c:v>
                </c:pt>
                <c:pt idx="147">
                  <c:v>1977</c:v>
                </c:pt>
                <c:pt idx="148">
                  <c:v>1978</c:v>
                </c:pt>
                <c:pt idx="149">
                  <c:v>1979</c:v>
                </c:pt>
                <c:pt idx="150">
                  <c:v>1980</c:v>
                </c:pt>
                <c:pt idx="151">
                  <c:v>1981</c:v>
                </c:pt>
                <c:pt idx="152">
                  <c:v>1982</c:v>
                </c:pt>
                <c:pt idx="153">
                  <c:v>1983</c:v>
                </c:pt>
                <c:pt idx="154">
                  <c:v>1984</c:v>
                </c:pt>
                <c:pt idx="155">
                  <c:v>1985</c:v>
                </c:pt>
                <c:pt idx="156">
                  <c:v>1986</c:v>
                </c:pt>
                <c:pt idx="157">
                  <c:v>1987</c:v>
                </c:pt>
              </c:numCache>
            </c:numRef>
          </c:xVal>
          <c:yVal>
            <c:numRef>
              <c:f>'Fit data'!$B$2:$B$159</c:f>
              <c:numCache>
                <c:formatCode>General</c:formatCode>
                <c:ptCount val="158"/>
                <c:pt idx="0">
                  <c:v>4.2341069999999998</c:v>
                </c:pt>
                <c:pt idx="1">
                  <c:v>4.510859</c:v>
                </c:pt>
                <c:pt idx="2">
                  <c:v>4.6249729999999998</c:v>
                </c:pt>
                <c:pt idx="3">
                  <c:v>4.8121840000000002</c:v>
                </c:pt>
                <c:pt idx="4">
                  <c:v>4.8121840000000002</c:v>
                </c:pt>
                <c:pt idx="5">
                  <c:v>4.9836070000000001</c:v>
                </c:pt>
                <c:pt idx="6">
                  <c:v>5.043425</c:v>
                </c:pt>
                <c:pt idx="7">
                  <c:v>5.2626900000000001</c:v>
                </c:pt>
                <c:pt idx="8">
                  <c:v>5.2729999999999997</c:v>
                </c:pt>
                <c:pt idx="9">
                  <c:v>5.308268</c:v>
                </c:pt>
                <c:pt idx="10">
                  <c:v>5.1647860000000003</c:v>
                </c:pt>
                <c:pt idx="11">
                  <c:v>5.4380790000000001</c:v>
                </c:pt>
                <c:pt idx="12">
                  <c:v>5.4680600000000004</c:v>
                </c:pt>
                <c:pt idx="13">
                  <c:v>5.6058019999999997</c:v>
                </c:pt>
                <c:pt idx="14">
                  <c:v>5.7868969999999997</c:v>
                </c:pt>
                <c:pt idx="15">
                  <c:v>5.8522020000000001</c:v>
                </c:pt>
                <c:pt idx="16">
                  <c:v>6.0038869999999998</c:v>
                </c:pt>
                <c:pt idx="17">
                  <c:v>6.0591229999999996</c:v>
                </c:pt>
                <c:pt idx="18">
                  <c:v>6.1355649999999997</c:v>
                </c:pt>
                <c:pt idx="19">
                  <c:v>6.265301</c:v>
                </c:pt>
                <c:pt idx="20">
                  <c:v>6.3699009999999996</c:v>
                </c:pt>
                <c:pt idx="21">
                  <c:v>6.466145</c:v>
                </c:pt>
                <c:pt idx="22">
                  <c:v>6.4052290000000003</c:v>
                </c:pt>
                <c:pt idx="23">
                  <c:v>6.517671</c:v>
                </c:pt>
                <c:pt idx="24">
                  <c:v>6.6463900000000002</c:v>
                </c:pt>
                <c:pt idx="25">
                  <c:v>6.5117450000000003</c:v>
                </c:pt>
                <c:pt idx="26">
                  <c:v>6.559615</c:v>
                </c:pt>
                <c:pt idx="27">
                  <c:v>6.5916740000000003</c:v>
                </c:pt>
                <c:pt idx="28">
                  <c:v>6.6437900000000001</c:v>
                </c:pt>
                <c:pt idx="29">
                  <c:v>6.7661910000000001</c:v>
                </c:pt>
                <c:pt idx="30">
                  <c:v>6.7765069999999996</c:v>
                </c:pt>
                <c:pt idx="31">
                  <c:v>6.5652650000000001</c:v>
                </c:pt>
                <c:pt idx="32">
                  <c:v>6.3561079999999999</c:v>
                </c:pt>
                <c:pt idx="33">
                  <c:v>6.8855089999999999</c:v>
                </c:pt>
                <c:pt idx="34">
                  <c:v>6.9726059999999999</c:v>
                </c:pt>
                <c:pt idx="35">
                  <c:v>6.9884130000000004</c:v>
                </c:pt>
                <c:pt idx="36">
                  <c:v>7.0833880000000002</c:v>
                </c:pt>
                <c:pt idx="37">
                  <c:v>7.0892429999999997</c:v>
                </c:pt>
                <c:pt idx="38">
                  <c:v>7.0066949999999997</c:v>
                </c:pt>
                <c:pt idx="39">
                  <c:v>6.9800760000000004</c:v>
                </c:pt>
                <c:pt idx="40">
                  <c:v>6.9920960000000001</c:v>
                </c:pt>
                <c:pt idx="41">
                  <c:v>7.013916</c:v>
                </c:pt>
                <c:pt idx="42">
                  <c:v>7.052721</c:v>
                </c:pt>
                <c:pt idx="43">
                  <c:v>7.078341</c:v>
                </c:pt>
                <c:pt idx="44">
                  <c:v>7.063904</c:v>
                </c:pt>
                <c:pt idx="45">
                  <c:v>7.0664670000000003</c:v>
                </c:pt>
                <c:pt idx="46">
                  <c:v>7.0630480000000002</c:v>
                </c:pt>
                <c:pt idx="47">
                  <c:v>7.0630480000000002</c:v>
                </c:pt>
                <c:pt idx="48">
                  <c:v>7.0698740000000004</c:v>
                </c:pt>
                <c:pt idx="49">
                  <c:v>#N/A</c:v>
                </c:pt>
                <c:pt idx="50">
                  <c:v>7.1000269999999999</c:v>
                </c:pt>
                <c:pt idx="51">
                  <c:v>7.1428279999999997</c:v>
                </c:pt>
                <c:pt idx="52">
                  <c:v>7.2122950000000001</c:v>
                </c:pt>
                <c:pt idx="53">
                  <c:v>7.2534700000000001</c:v>
                </c:pt>
                <c:pt idx="54">
                  <c:v>7.2902930000000001</c:v>
                </c:pt>
                <c:pt idx="55">
                  <c:v>7.309882</c:v>
                </c:pt>
                <c:pt idx="56">
                  <c:v>7.3284370000000001</c:v>
                </c:pt>
                <c:pt idx="57">
                  <c:v>7.3414840000000003</c:v>
                </c:pt>
                <c:pt idx="58">
                  <c:v>7.4073180000000001</c:v>
                </c:pt>
                <c:pt idx="59">
                  <c:v>7.4764720000000002</c:v>
                </c:pt>
                <c:pt idx="60">
                  <c:v>7.5277940000000001</c:v>
                </c:pt>
                <c:pt idx="61">
                  <c:v>7.6088709999999997</c:v>
                </c:pt>
                <c:pt idx="62">
                  <c:v>7.6372340000000003</c:v>
                </c:pt>
                <c:pt idx="63">
                  <c:v>7.6884560000000004</c:v>
                </c:pt>
                <c:pt idx="64">
                  <c:v>7.6912000000000003</c:v>
                </c:pt>
                <c:pt idx="65">
                  <c:v>7.7021050000000004</c:v>
                </c:pt>
                <c:pt idx="66">
                  <c:v>7.743703</c:v>
                </c:pt>
                <c:pt idx="67">
                  <c:v>7.7659929999999999</c:v>
                </c:pt>
                <c:pt idx="68">
                  <c:v>7.7714889999999999</c:v>
                </c:pt>
                <c:pt idx="69">
                  <c:v>7.8144</c:v>
                </c:pt>
                <c:pt idx="70">
                  <c:v>7.8853289999999996</c:v>
                </c:pt>
                <c:pt idx="71">
                  <c:v>7.9796810000000002</c:v>
                </c:pt>
                <c:pt idx="72">
                  <c:v>8.0636930000000007</c:v>
                </c:pt>
                <c:pt idx="73">
                  <c:v>8.1338810000000006</c:v>
                </c:pt>
                <c:pt idx="74">
                  <c:v>8.1873000000000005</c:v>
                </c:pt>
                <c:pt idx="75">
                  <c:v>8.2271079999999994</c:v>
                </c:pt>
                <c:pt idx="76">
                  <c:v>8.2877799999999997</c:v>
                </c:pt>
                <c:pt idx="77">
                  <c:v>8.3614750000000004</c:v>
                </c:pt>
                <c:pt idx="78">
                  <c:v>8.4576560000000001</c:v>
                </c:pt>
                <c:pt idx="79">
                  <c:v>8.4656900000000004</c:v>
                </c:pt>
                <c:pt idx="80">
                  <c:v>8.4969900000000003</c:v>
                </c:pt>
                <c:pt idx="81">
                  <c:v>8.5318850000000008</c:v>
                </c:pt>
                <c:pt idx="82">
                  <c:v>8.5525610000000007</c:v>
                </c:pt>
                <c:pt idx="83">
                  <c:v>8.5816689999999998</c:v>
                </c:pt>
                <c:pt idx="84">
                  <c:v>8.5993259999999996</c:v>
                </c:pt>
                <c:pt idx="85">
                  <c:v>8.6901379999999993</c:v>
                </c:pt>
                <c:pt idx="86">
                  <c:v>8.7111140000000002</c:v>
                </c:pt>
                <c:pt idx="87">
                  <c:v>8.7691970000000001</c:v>
                </c:pt>
                <c:pt idx="88">
                  <c:v>8.9187840000000005</c:v>
                </c:pt>
                <c:pt idx="89">
                  <c:v>9.251099</c:v>
                </c:pt>
                <c:pt idx="90">
                  <c:v>9.5340889999999998</c:v>
                </c:pt>
                <c:pt idx="91">
                  <c:v>9.6642779999999995</c:v>
                </c:pt>
                <c:pt idx="92">
                  <c:v>9.6792180000000005</c:v>
                </c:pt>
                <c:pt idx="93">
                  <c:v>9.6690930000000002</c:v>
                </c:pt>
                <c:pt idx="94">
                  <c:v>9.6365879999999997</c:v>
                </c:pt>
                <c:pt idx="95">
                  <c:v>9.6142040000000009</c:v>
                </c:pt>
                <c:pt idx="96">
                  <c:v>9.60562</c:v>
                </c:pt>
                <c:pt idx="97">
                  <c:v>9.5823870000000007</c:v>
                </c:pt>
                <c:pt idx="98">
                  <c:v>9.5710870000000003</c:v>
                </c:pt>
                <c:pt idx="99">
                  <c:v>9.5583170000000006</c:v>
                </c:pt>
                <c:pt idx="100">
                  <c:v>9.5293030000000005</c:v>
                </c:pt>
                <c:pt idx="101">
                  <c:v>9.5125170000000008</c:v>
                </c:pt>
                <c:pt idx="102">
                  <c:v>9.5154700000000005</c:v>
                </c:pt>
                <c:pt idx="103">
                  <c:v>9.4620320000000007</c:v>
                </c:pt>
                <c:pt idx="104">
                  <c:v>9.4483329999999999</c:v>
                </c:pt>
                <c:pt idx="105">
                  <c:v>9.43628</c:v>
                </c:pt>
                <c:pt idx="106">
                  <c:v>9.4146680000000007</c:v>
                </c:pt>
                <c:pt idx="107">
                  <c:v>9.4067290000000003</c:v>
                </c:pt>
                <c:pt idx="108">
                  <c:v>9.3932450000000003</c:v>
                </c:pt>
                <c:pt idx="109">
                  <c:v>9.3886540000000007</c:v>
                </c:pt>
                <c:pt idx="110">
                  <c:v>9.337237</c:v>
                </c:pt>
                <c:pt idx="111">
                  <c:v>9.3099150000000002</c:v>
                </c:pt>
                <c:pt idx="112">
                  <c:v>9.3121749999999999</c:v>
                </c:pt>
                <c:pt idx="113">
                  <c:v>9.5505200000000006</c:v>
                </c:pt>
                <c:pt idx="114">
                  <c:v>10.05264</c:v>
                </c:pt>
                <c:pt idx="115">
                  <c:v>10.31715</c:v>
                </c:pt>
                <c:pt idx="116">
                  <c:v>10.489269999999999</c:v>
                </c:pt>
                <c:pt idx="117">
                  <c:v>10.46735</c:v>
                </c:pt>
                <c:pt idx="118">
                  <c:v>10.32446</c:v>
                </c:pt>
                <c:pt idx="119">
                  <c:v>10.28613</c:v>
                </c:pt>
                <c:pt idx="120">
                  <c:v>10.251569999999999</c:v>
                </c:pt>
                <c:pt idx="121">
                  <c:v>10.21917</c:v>
                </c:pt>
                <c:pt idx="122">
                  <c:v>10.22045</c:v>
                </c:pt>
                <c:pt idx="123">
                  <c:v>10.222200000000001</c:v>
                </c:pt>
                <c:pt idx="124">
                  <c:v>10.22669</c:v>
                </c:pt>
                <c:pt idx="125">
                  <c:v>10.19586</c:v>
                </c:pt>
                <c:pt idx="126">
                  <c:v>10.175459999999999</c:v>
                </c:pt>
                <c:pt idx="127">
                  <c:v>10.157550000000001</c:v>
                </c:pt>
                <c:pt idx="128">
                  <c:v>10.11046</c:v>
                </c:pt>
                <c:pt idx="129">
                  <c:v>10.099589999999999</c:v>
                </c:pt>
                <c:pt idx="130">
                  <c:v>10.06701</c:v>
                </c:pt>
                <c:pt idx="131">
                  <c:v>9.9605759999999997</c:v>
                </c:pt>
                <c:pt idx="132">
                  <c:v>9.9072800000000001</c:v>
                </c:pt>
                <c:pt idx="133">
                  <c:v>9.9074299999999997</c:v>
                </c:pt>
                <c:pt idx="134">
                  <c:v>9.9043869999999998</c:v>
                </c:pt>
                <c:pt idx="135">
                  <c:v>9.8898949999999992</c:v>
                </c:pt>
                <c:pt idx="136">
                  <c:v>#N/A</c:v>
                </c:pt>
                <c:pt idx="137">
                  <c:v>#N/A</c:v>
                </c:pt>
                <c:pt idx="138">
                  <c:v>9.8728219999999993</c:v>
                </c:pt>
                <c:pt idx="139">
                  <c:v>9.8747279999999993</c:v>
                </c:pt>
                <c:pt idx="140">
                  <c:v>9.8235240000000008</c:v>
                </c:pt>
                <c:pt idx="141">
                  <c:v>9.6968329999999998</c:v>
                </c:pt>
                <c:pt idx="142">
                  <c:v>9.6174040000000005</c:v>
                </c:pt>
                <c:pt idx="143">
                  <c:v>9.6099209999999999</c:v>
                </c:pt>
                <c:pt idx="144">
                  <c:v>9.5769950000000001</c:v>
                </c:pt>
                <c:pt idx="145">
                  <c:v>9.5878859999999992</c:v>
                </c:pt>
                <c:pt idx="146">
                  <c:v>9.6096529999999998</c:v>
                </c:pt>
                <c:pt idx="147">
                  <c:v>9.6356079999999995</c:v>
                </c:pt>
                <c:pt idx="148">
                  <c:v>9.6920249999999992</c:v>
                </c:pt>
                <c:pt idx="149">
                  <c:v>9.7723530000000007</c:v>
                </c:pt>
                <c:pt idx="150">
                  <c:v>9.8235779999999995</c:v>
                </c:pt>
                <c:pt idx="151">
                  <c:v>9.8473410000000001</c:v>
                </c:pt>
                <c:pt idx="152">
                  <c:v>9.8580199999999998</c:v>
                </c:pt>
                <c:pt idx="153">
                  <c:v>9.8708609999999997</c:v>
                </c:pt>
                <c:pt idx="154">
                  <c:v>9.8674459999999993</c:v>
                </c:pt>
                <c:pt idx="155">
                  <c:v>9.879092</c:v>
                </c:pt>
                <c:pt idx="156">
                  <c:v>9.8984749999999995</c:v>
                </c:pt>
                <c:pt idx="157">
                  <c:v>9.9123479999999997</c:v>
                </c:pt>
              </c:numCache>
            </c:numRef>
          </c:yVal>
        </c:ser>
        <c:ser>
          <c:idx val="1"/>
          <c:order val="1"/>
          <c:tx>
            <c:strRef>
              <c:f>'Fit data'!$C$1</c:f>
              <c:strCache>
                <c:ptCount val="1"/>
                <c:pt idx="0">
                  <c:v>US fitted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'Fit data'!$A$2:$A$159</c:f>
              <c:numCache>
                <c:formatCode>General</c:formatCode>
                <c:ptCount val="158"/>
                <c:pt idx="0">
                  <c:v>1830</c:v>
                </c:pt>
                <c:pt idx="1">
                  <c:v>1831</c:v>
                </c:pt>
                <c:pt idx="2">
                  <c:v>1832</c:v>
                </c:pt>
                <c:pt idx="3">
                  <c:v>1833</c:v>
                </c:pt>
                <c:pt idx="4">
                  <c:v>1834</c:v>
                </c:pt>
                <c:pt idx="5">
                  <c:v>1835</c:v>
                </c:pt>
                <c:pt idx="6">
                  <c:v>1836</c:v>
                </c:pt>
                <c:pt idx="7">
                  <c:v>1837</c:v>
                </c:pt>
                <c:pt idx="8">
                  <c:v>1838</c:v>
                </c:pt>
                <c:pt idx="9">
                  <c:v>1839</c:v>
                </c:pt>
                <c:pt idx="10">
                  <c:v>1840</c:v>
                </c:pt>
                <c:pt idx="11">
                  <c:v>1841</c:v>
                </c:pt>
                <c:pt idx="12">
                  <c:v>1842</c:v>
                </c:pt>
                <c:pt idx="13">
                  <c:v>1843</c:v>
                </c:pt>
                <c:pt idx="14">
                  <c:v>1844</c:v>
                </c:pt>
                <c:pt idx="15">
                  <c:v>1845</c:v>
                </c:pt>
                <c:pt idx="16">
                  <c:v>1846</c:v>
                </c:pt>
                <c:pt idx="17">
                  <c:v>1847</c:v>
                </c:pt>
                <c:pt idx="18">
                  <c:v>1848</c:v>
                </c:pt>
                <c:pt idx="19">
                  <c:v>1849</c:v>
                </c:pt>
                <c:pt idx="20">
                  <c:v>1850</c:v>
                </c:pt>
                <c:pt idx="21">
                  <c:v>1851</c:v>
                </c:pt>
                <c:pt idx="22">
                  <c:v>1852</c:v>
                </c:pt>
                <c:pt idx="23">
                  <c:v>1853</c:v>
                </c:pt>
                <c:pt idx="24">
                  <c:v>1854</c:v>
                </c:pt>
                <c:pt idx="25">
                  <c:v>1855</c:v>
                </c:pt>
                <c:pt idx="26">
                  <c:v>1856</c:v>
                </c:pt>
                <c:pt idx="27">
                  <c:v>1857</c:v>
                </c:pt>
                <c:pt idx="28">
                  <c:v>1858</c:v>
                </c:pt>
                <c:pt idx="29">
                  <c:v>1859</c:v>
                </c:pt>
                <c:pt idx="30">
                  <c:v>1860</c:v>
                </c:pt>
                <c:pt idx="31">
                  <c:v>1861</c:v>
                </c:pt>
                <c:pt idx="32">
                  <c:v>1862</c:v>
                </c:pt>
                <c:pt idx="33">
                  <c:v>1863</c:v>
                </c:pt>
                <c:pt idx="34">
                  <c:v>1864</c:v>
                </c:pt>
                <c:pt idx="35">
                  <c:v>1865</c:v>
                </c:pt>
                <c:pt idx="36">
                  <c:v>1866</c:v>
                </c:pt>
                <c:pt idx="37">
                  <c:v>1867</c:v>
                </c:pt>
                <c:pt idx="38">
                  <c:v>1868</c:v>
                </c:pt>
                <c:pt idx="39">
                  <c:v>1869</c:v>
                </c:pt>
                <c:pt idx="40">
                  <c:v>1870</c:v>
                </c:pt>
                <c:pt idx="41">
                  <c:v>1871</c:v>
                </c:pt>
                <c:pt idx="42">
                  <c:v>1872</c:v>
                </c:pt>
                <c:pt idx="43">
                  <c:v>1873</c:v>
                </c:pt>
                <c:pt idx="44">
                  <c:v>1874</c:v>
                </c:pt>
                <c:pt idx="45">
                  <c:v>1875</c:v>
                </c:pt>
                <c:pt idx="46">
                  <c:v>1876</c:v>
                </c:pt>
                <c:pt idx="47">
                  <c:v>1877</c:v>
                </c:pt>
                <c:pt idx="48">
                  <c:v>1878</c:v>
                </c:pt>
                <c:pt idx="49">
                  <c:v>1879</c:v>
                </c:pt>
                <c:pt idx="50">
                  <c:v>1880</c:v>
                </c:pt>
                <c:pt idx="51">
                  <c:v>1881</c:v>
                </c:pt>
                <c:pt idx="52">
                  <c:v>1882</c:v>
                </c:pt>
                <c:pt idx="53">
                  <c:v>1883</c:v>
                </c:pt>
                <c:pt idx="54">
                  <c:v>1884</c:v>
                </c:pt>
                <c:pt idx="55">
                  <c:v>1885</c:v>
                </c:pt>
                <c:pt idx="56">
                  <c:v>1886</c:v>
                </c:pt>
                <c:pt idx="57">
                  <c:v>1887</c:v>
                </c:pt>
                <c:pt idx="58">
                  <c:v>1888</c:v>
                </c:pt>
                <c:pt idx="59">
                  <c:v>1889</c:v>
                </c:pt>
                <c:pt idx="60">
                  <c:v>1890</c:v>
                </c:pt>
                <c:pt idx="61">
                  <c:v>1891</c:v>
                </c:pt>
                <c:pt idx="62">
                  <c:v>1892</c:v>
                </c:pt>
                <c:pt idx="63">
                  <c:v>1893</c:v>
                </c:pt>
                <c:pt idx="64">
                  <c:v>1894</c:v>
                </c:pt>
                <c:pt idx="65">
                  <c:v>1895</c:v>
                </c:pt>
                <c:pt idx="66">
                  <c:v>1896</c:v>
                </c:pt>
                <c:pt idx="67">
                  <c:v>1897</c:v>
                </c:pt>
                <c:pt idx="68">
                  <c:v>1898</c:v>
                </c:pt>
                <c:pt idx="69">
                  <c:v>1899</c:v>
                </c:pt>
                <c:pt idx="70">
                  <c:v>1900</c:v>
                </c:pt>
                <c:pt idx="71">
                  <c:v>1901</c:v>
                </c:pt>
                <c:pt idx="72">
                  <c:v>1902</c:v>
                </c:pt>
                <c:pt idx="73">
                  <c:v>1903</c:v>
                </c:pt>
                <c:pt idx="74">
                  <c:v>1904</c:v>
                </c:pt>
                <c:pt idx="75">
                  <c:v>1905</c:v>
                </c:pt>
                <c:pt idx="76">
                  <c:v>1906</c:v>
                </c:pt>
                <c:pt idx="77">
                  <c:v>1907</c:v>
                </c:pt>
                <c:pt idx="78">
                  <c:v>1908</c:v>
                </c:pt>
                <c:pt idx="79">
                  <c:v>1909</c:v>
                </c:pt>
                <c:pt idx="80">
                  <c:v>1910</c:v>
                </c:pt>
                <c:pt idx="81">
                  <c:v>1911</c:v>
                </c:pt>
                <c:pt idx="82">
                  <c:v>1912</c:v>
                </c:pt>
                <c:pt idx="83">
                  <c:v>1913</c:v>
                </c:pt>
                <c:pt idx="84">
                  <c:v>1914</c:v>
                </c:pt>
                <c:pt idx="85">
                  <c:v>1915</c:v>
                </c:pt>
                <c:pt idx="86">
                  <c:v>1916</c:v>
                </c:pt>
                <c:pt idx="87">
                  <c:v>1917</c:v>
                </c:pt>
                <c:pt idx="88">
                  <c:v>1918</c:v>
                </c:pt>
                <c:pt idx="89">
                  <c:v>1919</c:v>
                </c:pt>
                <c:pt idx="90">
                  <c:v>1920</c:v>
                </c:pt>
                <c:pt idx="91">
                  <c:v>1921</c:v>
                </c:pt>
                <c:pt idx="92">
                  <c:v>1922</c:v>
                </c:pt>
                <c:pt idx="93">
                  <c:v>1923</c:v>
                </c:pt>
                <c:pt idx="94">
                  <c:v>1924</c:v>
                </c:pt>
                <c:pt idx="95">
                  <c:v>1925</c:v>
                </c:pt>
                <c:pt idx="96">
                  <c:v>1926</c:v>
                </c:pt>
                <c:pt idx="97">
                  <c:v>1927</c:v>
                </c:pt>
                <c:pt idx="98">
                  <c:v>1928</c:v>
                </c:pt>
                <c:pt idx="99">
                  <c:v>1929</c:v>
                </c:pt>
                <c:pt idx="100">
                  <c:v>1930</c:v>
                </c:pt>
                <c:pt idx="101">
                  <c:v>1931</c:v>
                </c:pt>
                <c:pt idx="102">
                  <c:v>1932</c:v>
                </c:pt>
                <c:pt idx="103">
                  <c:v>1933</c:v>
                </c:pt>
                <c:pt idx="104">
                  <c:v>1934</c:v>
                </c:pt>
                <c:pt idx="105">
                  <c:v>1935</c:v>
                </c:pt>
                <c:pt idx="106">
                  <c:v>1936</c:v>
                </c:pt>
                <c:pt idx="107">
                  <c:v>1937</c:v>
                </c:pt>
                <c:pt idx="108">
                  <c:v>1938</c:v>
                </c:pt>
                <c:pt idx="109">
                  <c:v>1939</c:v>
                </c:pt>
                <c:pt idx="110">
                  <c:v>1940</c:v>
                </c:pt>
                <c:pt idx="111">
                  <c:v>1941</c:v>
                </c:pt>
                <c:pt idx="112">
                  <c:v>1942</c:v>
                </c:pt>
                <c:pt idx="113">
                  <c:v>1943</c:v>
                </c:pt>
                <c:pt idx="114">
                  <c:v>1944</c:v>
                </c:pt>
                <c:pt idx="115">
                  <c:v>1945</c:v>
                </c:pt>
                <c:pt idx="116">
                  <c:v>1946</c:v>
                </c:pt>
                <c:pt idx="117">
                  <c:v>1947</c:v>
                </c:pt>
                <c:pt idx="118">
                  <c:v>1948</c:v>
                </c:pt>
                <c:pt idx="119">
                  <c:v>1949</c:v>
                </c:pt>
                <c:pt idx="120">
                  <c:v>1950</c:v>
                </c:pt>
                <c:pt idx="121">
                  <c:v>1951</c:v>
                </c:pt>
                <c:pt idx="122">
                  <c:v>1952</c:v>
                </c:pt>
                <c:pt idx="123">
                  <c:v>1953</c:v>
                </c:pt>
                <c:pt idx="124">
                  <c:v>1954</c:v>
                </c:pt>
                <c:pt idx="125">
                  <c:v>1955</c:v>
                </c:pt>
                <c:pt idx="126">
                  <c:v>1956</c:v>
                </c:pt>
                <c:pt idx="127">
                  <c:v>1957</c:v>
                </c:pt>
                <c:pt idx="128">
                  <c:v>1958</c:v>
                </c:pt>
                <c:pt idx="129">
                  <c:v>1959</c:v>
                </c:pt>
                <c:pt idx="130">
                  <c:v>1960</c:v>
                </c:pt>
                <c:pt idx="131">
                  <c:v>1961</c:v>
                </c:pt>
                <c:pt idx="132">
                  <c:v>1962</c:v>
                </c:pt>
                <c:pt idx="133">
                  <c:v>1963</c:v>
                </c:pt>
                <c:pt idx="134">
                  <c:v>1964</c:v>
                </c:pt>
                <c:pt idx="135">
                  <c:v>1965</c:v>
                </c:pt>
                <c:pt idx="136">
                  <c:v>1966</c:v>
                </c:pt>
                <c:pt idx="137">
                  <c:v>1967</c:v>
                </c:pt>
                <c:pt idx="138">
                  <c:v>1968</c:v>
                </c:pt>
                <c:pt idx="139">
                  <c:v>1969</c:v>
                </c:pt>
                <c:pt idx="140">
                  <c:v>1970</c:v>
                </c:pt>
                <c:pt idx="141">
                  <c:v>1971</c:v>
                </c:pt>
                <c:pt idx="142">
                  <c:v>1972</c:v>
                </c:pt>
                <c:pt idx="143">
                  <c:v>1973</c:v>
                </c:pt>
                <c:pt idx="144">
                  <c:v>1974</c:v>
                </c:pt>
                <c:pt idx="145">
                  <c:v>1975</c:v>
                </c:pt>
                <c:pt idx="146">
                  <c:v>1976</c:v>
                </c:pt>
                <c:pt idx="147">
                  <c:v>1977</c:v>
                </c:pt>
                <c:pt idx="148">
                  <c:v>1978</c:v>
                </c:pt>
                <c:pt idx="149">
                  <c:v>1979</c:v>
                </c:pt>
                <c:pt idx="150">
                  <c:v>1980</c:v>
                </c:pt>
                <c:pt idx="151">
                  <c:v>1981</c:v>
                </c:pt>
                <c:pt idx="152">
                  <c:v>1982</c:v>
                </c:pt>
                <c:pt idx="153">
                  <c:v>1983</c:v>
                </c:pt>
                <c:pt idx="154">
                  <c:v>1984</c:v>
                </c:pt>
                <c:pt idx="155">
                  <c:v>1985</c:v>
                </c:pt>
                <c:pt idx="156">
                  <c:v>1986</c:v>
                </c:pt>
                <c:pt idx="157">
                  <c:v>1987</c:v>
                </c:pt>
              </c:numCache>
            </c:numRef>
          </c:xVal>
          <c:yVal>
            <c:numRef>
              <c:f>'Fit data'!$C$2:$C$159</c:f>
              <c:numCache>
                <c:formatCode>General</c:formatCode>
                <c:ptCount val="158"/>
                <c:pt idx="0">
                  <c:v>4.0953780000000002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5.0466850000000001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5.8190410000000004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6.4128540000000003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6.9782000000000002</c:v>
                </c:pt>
                <c:pt idx="41">
                  <c:v>7.0143180000000003</c:v>
                </c:pt>
                <c:pt idx="42">
                  <c:v>7.0650649999999997</c:v>
                </c:pt>
                <c:pt idx="43">
                  <c:v>7.1023209999999999</c:v>
                </c:pt>
                <c:pt idx="44">
                  <c:v>7.2107570000000001</c:v>
                </c:pt>
                <c:pt idx="45">
                  <c:v>7.2418839999999998</c:v>
                </c:pt>
                <c:pt idx="46">
                  <c:v>7.3235250000000001</c:v>
                </c:pt>
                <c:pt idx="47">
                  <c:v>7.3770730000000002</c:v>
                </c:pt>
                <c:pt idx="48">
                  <c:v>7.4171659999999999</c:v>
                </c:pt>
                <c:pt idx="49">
                  <c:v>#N/A</c:v>
                </c:pt>
                <c:pt idx="50">
                  <c:v>7.3022960000000001</c:v>
                </c:pt>
                <c:pt idx="51">
                  <c:v>7.3575400000000002</c:v>
                </c:pt>
                <c:pt idx="52">
                  <c:v>7.3755470000000001</c:v>
                </c:pt>
                <c:pt idx="53">
                  <c:v>7.4418249999999997</c:v>
                </c:pt>
                <c:pt idx="54">
                  <c:v>7.5148130000000002</c:v>
                </c:pt>
                <c:pt idx="55">
                  <c:v>7.5999369999999997</c:v>
                </c:pt>
                <c:pt idx="56">
                  <c:v>7.6545040000000002</c:v>
                </c:pt>
                <c:pt idx="57">
                  <c:v>7.6886549999999998</c:v>
                </c:pt>
                <c:pt idx="58">
                  <c:v>7.7858910000000003</c:v>
                </c:pt>
                <c:pt idx="59">
                  <c:v>7.7962189999999998</c:v>
                </c:pt>
                <c:pt idx="60">
                  <c:v>7.8661399999999997</c:v>
                </c:pt>
                <c:pt idx="61">
                  <c:v>7.8985339999999997</c:v>
                </c:pt>
                <c:pt idx="62">
                  <c:v>7.8636540000000004</c:v>
                </c:pt>
                <c:pt idx="63">
                  <c:v>8.0153049999999997</c:v>
                </c:pt>
                <c:pt idx="64">
                  <c:v>8.1389510000000005</c:v>
                </c:pt>
                <c:pt idx="65">
                  <c:v>8.0726580000000006</c:v>
                </c:pt>
                <c:pt idx="66">
                  <c:v>8.1828889999999994</c:v>
                </c:pt>
                <c:pt idx="67">
                  <c:v>8.1447889999999994</c:v>
                </c:pt>
                <c:pt idx="68">
                  <c:v>8.1988489999999992</c:v>
                </c:pt>
                <c:pt idx="69">
                  <c:v>8.1644089999999991</c:v>
                </c:pt>
                <c:pt idx="70">
                  <c:v>8.2082029999999992</c:v>
                </c:pt>
                <c:pt idx="71">
                  <c:v>8.1517009999999992</c:v>
                </c:pt>
                <c:pt idx="72">
                  <c:v>8.2237580000000001</c:v>
                </c:pt>
                <c:pt idx="73">
                  <c:v>8.2428290000000004</c:v>
                </c:pt>
                <c:pt idx="74">
                  <c:v>8.3421470000000006</c:v>
                </c:pt>
                <c:pt idx="75">
                  <c:v>8.3329609999999992</c:v>
                </c:pt>
                <c:pt idx="76">
                  <c:v>8.2719310000000004</c:v>
                </c:pt>
                <c:pt idx="77">
                  <c:v>8.3322129999999994</c:v>
                </c:pt>
                <c:pt idx="78">
                  <c:v>8.5283940000000005</c:v>
                </c:pt>
                <c:pt idx="79">
                  <c:v>8.4605080000000008</c:v>
                </c:pt>
                <c:pt idx="80">
                  <c:v>8.5337449999999997</c:v>
                </c:pt>
                <c:pt idx="81">
                  <c:v>8.5657949999999996</c:v>
                </c:pt>
                <c:pt idx="82">
                  <c:v>8.5791850000000007</c:v>
                </c:pt>
                <c:pt idx="83">
                  <c:v>8.6114770000000007</c:v>
                </c:pt>
                <c:pt idx="84">
                  <c:v>8.7995439999999991</c:v>
                </c:pt>
                <c:pt idx="85">
                  <c:v>8.8336469999999991</c:v>
                </c:pt>
                <c:pt idx="86">
                  <c:v>8.7329019999999993</c:v>
                </c:pt>
                <c:pt idx="87">
                  <c:v>8.8363250000000004</c:v>
                </c:pt>
                <c:pt idx="88">
                  <c:v>8.7849079999999997</c:v>
                </c:pt>
                <c:pt idx="89">
                  <c:v>8.8219370000000001</c:v>
                </c:pt>
                <c:pt idx="90">
                  <c:v>8.9023129999999995</c:v>
                </c:pt>
                <c:pt idx="91">
                  <c:v>9.0142690000000005</c:v>
                </c:pt>
                <c:pt idx="92">
                  <c:v>9.0121970000000005</c:v>
                </c:pt>
                <c:pt idx="93">
                  <c:v>8.9250910000000001</c:v>
                </c:pt>
                <c:pt idx="94">
                  <c:v>8.9663219999999999</c:v>
                </c:pt>
                <c:pt idx="95">
                  <c:v>9.0073240000000006</c:v>
                </c:pt>
                <c:pt idx="96">
                  <c:v>8.9916730000000005</c:v>
                </c:pt>
                <c:pt idx="97">
                  <c:v>9.0471240000000002</c:v>
                </c:pt>
                <c:pt idx="98">
                  <c:v>9.0970870000000001</c:v>
                </c:pt>
                <c:pt idx="99">
                  <c:v>9.0792310000000001</c:v>
                </c:pt>
                <c:pt idx="100">
                  <c:v>9.2651690000000002</c:v>
                </c:pt>
                <c:pt idx="101">
                  <c:v>9.4246700000000008</c:v>
                </c:pt>
                <c:pt idx="102">
                  <c:v>9.6624009999999991</c:v>
                </c:pt>
                <c:pt idx="103">
                  <c:v>9.7400529999999996</c:v>
                </c:pt>
                <c:pt idx="104">
                  <c:v>9.6923180000000002</c:v>
                </c:pt>
                <c:pt idx="105">
                  <c:v>9.6468530000000001</c:v>
                </c:pt>
                <c:pt idx="106">
                  <c:v>9.5220579999999995</c:v>
                </c:pt>
                <c:pt idx="107">
                  <c:v>9.5164799999999996</c:v>
                </c:pt>
                <c:pt idx="108">
                  <c:v>9.6236599999999992</c:v>
                </c:pt>
                <c:pt idx="109">
                  <c:v>9.5768799999999992</c:v>
                </c:pt>
                <c:pt idx="110">
                  <c:v>9.5332749999999997</c:v>
                </c:pt>
                <c:pt idx="111">
                  <c:v>9.3703730000000007</c:v>
                </c:pt>
                <c:pt idx="112">
                  <c:v>9.1901790000000005</c:v>
                </c:pt>
                <c:pt idx="113">
                  <c:v>9.0181020000000007</c:v>
                </c:pt>
                <c:pt idx="114">
                  <c:v>8.9750680000000003</c:v>
                </c:pt>
                <c:pt idx="115">
                  <c:v>9.0897679999999994</c:v>
                </c:pt>
                <c:pt idx="116">
                  <c:v>9.4538759999999993</c:v>
                </c:pt>
                <c:pt idx="117">
                  <c:v>9.5533540000000006</c:v>
                </c:pt>
                <c:pt idx="118">
                  <c:v>9.5792470000000005</c:v>
                </c:pt>
                <c:pt idx="119">
                  <c:v>9.6490969999999994</c:v>
                </c:pt>
                <c:pt idx="120">
                  <c:v>9.6123390000000004</c:v>
                </c:pt>
                <c:pt idx="121">
                  <c:v>9.5896100000000004</c:v>
                </c:pt>
                <c:pt idx="122">
                  <c:v>9.6156740000000003</c:v>
                </c:pt>
                <c:pt idx="123">
                  <c:v>9.6294009999999997</c:v>
                </c:pt>
                <c:pt idx="124">
                  <c:v>9.7134689999999999</c:v>
                </c:pt>
                <c:pt idx="125">
                  <c:v>9.6988679999999992</c:v>
                </c:pt>
                <c:pt idx="126">
                  <c:v>9.7489819999999998</c:v>
                </c:pt>
                <c:pt idx="127">
                  <c:v>9.8007869999999997</c:v>
                </c:pt>
                <c:pt idx="128">
                  <c:v>9.8873149999999992</c:v>
                </c:pt>
                <c:pt idx="129">
                  <c:v>9.8659330000000001</c:v>
                </c:pt>
                <c:pt idx="130">
                  <c:v>9.9045480000000001</c:v>
                </c:pt>
                <c:pt idx="131">
                  <c:v>9.9468350000000001</c:v>
                </c:pt>
                <c:pt idx="132">
                  <c:v>9.9393879999999992</c:v>
                </c:pt>
                <c:pt idx="133">
                  <c:v>9.9510240000000003</c:v>
                </c:pt>
                <c:pt idx="134">
                  <c:v>9.9430359999999993</c:v>
                </c:pt>
                <c:pt idx="135">
                  <c:v>9.9244420000000009</c:v>
                </c:pt>
                <c:pt idx="136">
                  <c:v>#N/A</c:v>
                </c:pt>
                <c:pt idx="137">
                  <c:v>#N/A</c:v>
                </c:pt>
                <c:pt idx="138">
                  <c:v>9.923781</c:v>
                </c:pt>
                <c:pt idx="139">
                  <c:v>9.9395969999999991</c:v>
                </c:pt>
                <c:pt idx="140">
                  <c:v>9.9981179999999998</c:v>
                </c:pt>
                <c:pt idx="141">
                  <c:v>10.02064</c:v>
                </c:pt>
                <c:pt idx="142">
                  <c:v>10.011039999999999</c:v>
                </c:pt>
                <c:pt idx="143">
                  <c:v>9.9939599999999995</c:v>
                </c:pt>
                <c:pt idx="144">
                  <c:v>10.052490000000001</c:v>
                </c:pt>
                <c:pt idx="145">
                  <c:v>10.11266</c:v>
                </c:pt>
                <c:pt idx="146">
                  <c:v>10.10084</c:v>
                </c:pt>
                <c:pt idx="147">
                  <c:v>10.099220000000001</c:v>
                </c:pt>
                <c:pt idx="148">
                  <c:v>10.084059999999999</c:v>
                </c:pt>
                <c:pt idx="149">
                  <c:v>10.09896</c:v>
                </c:pt>
                <c:pt idx="150">
                  <c:v>10.159129999999999</c:v>
                </c:pt>
                <c:pt idx="151">
                  <c:v>10.18267</c:v>
                </c:pt>
                <c:pt idx="152">
                  <c:v>10.263260000000001</c:v>
                </c:pt>
                <c:pt idx="153">
                  <c:v>10.26347</c:v>
                </c:pt>
                <c:pt idx="154">
                  <c:v>10.224080000000001</c:v>
                </c:pt>
                <c:pt idx="155">
                  <c:v>10.227779999999999</c:v>
                </c:pt>
                <c:pt idx="156">
                  <c:v>10.237439999999999</c:v>
                </c:pt>
                <c:pt idx="157">
                  <c:v>10.245660000000001</c:v>
                </c:pt>
              </c:numCache>
            </c:numRef>
          </c:yVal>
        </c:ser>
        <c:ser>
          <c:idx val="2"/>
          <c:order val="2"/>
          <c:tx>
            <c:strRef>
              <c:f>'Fit data'!$E$1</c:f>
              <c:strCache>
                <c:ptCount val="1"/>
                <c:pt idx="0">
                  <c:v>Japan actual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'Fit data'!$D$2:$D$86</c:f>
              <c:numCache>
                <c:formatCode>General</c:formatCode>
                <c:ptCount val="85"/>
                <c:pt idx="0">
                  <c:v>1904</c:v>
                </c:pt>
                <c:pt idx="1">
                  <c:v>1905</c:v>
                </c:pt>
                <c:pt idx="2">
                  <c:v>1906</c:v>
                </c:pt>
                <c:pt idx="3">
                  <c:v>1907</c:v>
                </c:pt>
                <c:pt idx="4">
                  <c:v>1908</c:v>
                </c:pt>
                <c:pt idx="5">
                  <c:v>1909</c:v>
                </c:pt>
                <c:pt idx="6">
                  <c:v>1910</c:v>
                </c:pt>
                <c:pt idx="7">
                  <c:v>1911</c:v>
                </c:pt>
                <c:pt idx="8">
                  <c:v>1912</c:v>
                </c:pt>
                <c:pt idx="9">
                  <c:v>1913</c:v>
                </c:pt>
                <c:pt idx="10">
                  <c:v>1914</c:v>
                </c:pt>
                <c:pt idx="11">
                  <c:v>1915</c:v>
                </c:pt>
                <c:pt idx="12">
                  <c:v>1916</c:v>
                </c:pt>
                <c:pt idx="13">
                  <c:v>1917</c:v>
                </c:pt>
                <c:pt idx="14">
                  <c:v>1918</c:v>
                </c:pt>
                <c:pt idx="15">
                  <c:v>1919</c:v>
                </c:pt>
                <c:pt idx="16">
                  <c:v>1920</c:v>
                </c:pt>
                <c:pt idx="17">
                  <c:v>1921</c:v>
                </c:pt>
                <c:pt idx="18">
                  <c:v>1922</c:v>
                </c:pt>
                <c:pt idx="19">
                  <c:v>1923</c:v>
                </c:pt>
                <c:pt idx="20">
                  <c:v>1924</c:v>
                </c:pt>
                <c:pt idx="21">
                  <c:v>1925</c:v>
                </c:pt>
                <c:pt idx="22">
                  <c:v>1926</c:v>
                </c:pt>
                <c:pt idx="23">
                  <c:v>1927</c:v>
                </c:pt>
                <c:pt idx="24">
                  <c:v>1928</c:v>
                </c:pt>
                <c:pt idx="25">
                  <c:v>1929</c:v>
                </c:pt>
                <c:pt idx="26">
                  <c:v>1930</c:v>
                </c:pt>
                <c:pt idx="27">
                  <c:v>1931</c:v>
                </c:pt>
                <c:pt idx="28">
                  <c:v>1932</c:v>
                </c:pt>
                <c:pt idx="29">
                  <c:v>1933</c:v>
                </c:pt>
                <c:pt idx="30">
                  <c:v>1934</c:v>
                </c:pt>
                <c:pt idx="31">
                  <c:v>1935</c:v>
                </c:pt>
                <c:pt idx="32">
                  <c:v>1936</c:v>
                </c:pt>
                <c:pt idx="33">
                  <c:v>1937</c:v>
                </c:pt>
                <c:pt idx="34">
                  <c:v>1938</c:v>
                </c:pt>
                <c:pt idx="35">
                  <c:v>1939</c:v>
                </c:pt>
                <c:pt idx="36">
                  <c:v>1940</c:v>
                </c:pt>
                <c:pt idx="37">
                  <c:v>1941</c:v>
                </c:pt>
                <c:pt idx="38">
                  <c:v>1942</c:v>
                </c:pt>
                <c:pt idx="39">
                  <c:v>1943</c:v>
                </c:pt>
                <c:pt idx="40">
                  <c:v>1944</c:v>
                </c:pt>
                <c:pt idx="41">
                  <c:v>1945</c:v>
                </c:pt>
                <c:pt idx="42">
                  <c:v>1946</c:v>
                </c:pt>
                <c:pt idx="43">
                  <c:v>1947</c:v>
                </c:pt>
                <c:pt idx="44">
                  <c:v>1948</c:v>
                </c:pt>
                <c:pt idx="45">
                  <c:v>1949</c:v>
                </c:pt>
                <c:pt idx="46">
                  <c:v>1950</c:v>
                </c:pt>
                <c:pt idx="47">
                  <c:v>1951</c:v>
                </c:pt>
                <c:pt idx="48">
                  <c:v>1952</c:v>
                </c:pt>
                <c:pt idx="49">
                  <c:v>1953</c:v>
                </c:pt>
                <c:pt idx="50">
                  <c:v>1954</c:v>
                </c:pt>
                <c:pt idx="51">
                  <c:v>1955</c:v>
                </c:pt>
                <c:pt idx="52">
                  <c:v>1956</c:v>
                </c:pt>
                <c:pt idx="53">
                  <c:v>1957</c:v>
                </c:pt>
                <c:pt idx="54">
                  <c:v>1958</c:v>
                </c:pt>
                <c:pt idx="55">
                  <c:v>1959</c:v>
                </c:pt>
                <c:pt idx="56">
                  <c:v>1960</c:v>
                </c:pt>
                <c:pt idx="57">
                  <c:v>1961</c:v>
                </c:pt>
                <c:pt idx="58">
                  <c:v>1962</c:v>
                </c:pt>
                <c:pt idx="59">
                  <c:v>1963</c:v>
                </c:pt>
                <c:pt idx="60">
                  <c:v>1964</c:v>
                </c:pt>
                <c:pt idx="61">
                  <c:v>1965</c:v>
                </c:pt>
                <c:pt idx="62">
                  <c:v>1966</c:v>
                </c:pt>
                <c:pt idx="63">
                  <c:v>1967</c:v>
                </c:pt>
                <c:pt idx="64">
                  <c:v>1968</c:v>
                </c:pt>
                <c:pt idx="65">
                  <c:v>1969</c:v>
                </c:pt>
                <c:pt idx="66">
                  <c:v>1970</c:v>
                </c:pt>
                <c:pt idx="67">
                  <c:v>1971</c:v>
                </c:pt>
                <c:pt idx="68">
                  <c:v>1972</c:v>
                </c:pt>
                <c:pt idx="69">
                  <c:v>1973</c:v>
                </c:pt>
                <c:pt idx="70">
                  <c:v>1974</c:v>
                </c:pt>
                <c:pt idx="71">
                  <c:v>1975</c:v>
                </c:pt>
                <c:pt idx="72">
                  <c:v>1976</c:v>
                </c:pt>
                <c:pt idx="73">
                  <c:v>1977</c:v>
                </c:pt>
                <c:pt idx="74">
                  <c:v>1978</c:v>
                </c:pt>
                <c:pt idx="75">
                  <c:v>1979</c:v>
                </c:pt>
                <c:pt idx="76">
                  <c:v>1980</c:v>
                </c:pt>
                <c:pt idx="77">
                  <c:v>1981</c:v>
                </c:pt>
                <c:pt idx="78">
                  <c:v>1982</c:v>
                </c:pt>
                <c:pt idx="79">
                  <c:v>1983</c:v>
                </c:pt>
                <c:pt idx="80">
                  <c:v>1984</c:v>
                </c:pt>
                <c:pt idx="81">
                  <c:v>1985</c:v>
                </c:pt>
                <c:pt idx="82">
                  <c:v>1986</c:v>
                </c:pt>
                <c:pt idx="83">
                  <c:v>1987</c:v>
                </c:pt>
                <c:pt idx="84">
                  <c:v>1988</c:v>
                </c:pt>
              </c:numCache>
            </c:numRef>
          </c:xVal>
          <c:yVal>
            <c:numRef>
              <c:f>'Fit data'!$E$2:$E$86</c:f>
              <c:numCache>
                <c:formatCode>General</c:formatCode>
                <c:ptCount val="85"/>
                <c:pt idx="0">
                  <c:v>6.5042879999999998</c:v>
                </c:pt>
                <c:pt idx="1">
                  <c:v>6.7696420000000002</c:v>
                </c:pt>
                <c:pt idx="2">
                  <c:v>6.9047510000000001</c:v>
                </c:pt>
                <c:pt idx="3">
                  <c:v>6.9744789999999997</c:v>
                </c:pt>
                <c:pt idx="4">
                  <c:v>7.0387839999999997</c:v>
                </c:pt>
                <c:pt idx="5">
                  <c:v>7.048387</c:v>
                </c:pt>
                <c:pt idx="6">
                  <c:v>7.044905</c:v>
                </c:pt>
                <c:pt idx="7">
                  <c:v>7.09091</c:v>
                </c:pt>
                <c:pt idx="8">
                  <c:v>7.2041490000000001</c:v>
                </c:pt>
                <c:pt idx="9">
                  <c:v>7.3132210000000004</c:v>
                </c:pt>
                <c:pt idx="10">
                  <c:v>7.443079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7.7514750000000001</c:v>
                </c:pt>
                <c:pt idx="16">
                  <c:v>8.0050329999999992</c:v>
                </c:pt>
                <c:pt idx="17">
                  <c:v>8.118207</c:v>
                </c:pt>
                <c:pt idx="18">
                  <c:v>8.1850719999999999</c:v>
                </c:pt>
                <c:pt idx="19">
                  <c:v>8.1897990000000007</c:v>
                </c:pt>
                <c:pt idx="20">
                  <c:v>8.2540080000000007</c:v>
                </c:pt>
                <c:pt idx="21">
                  <c:v>8.273847</c:v>
                </c:pt>
                <c:pt idx="22">
                  <c:v>8.2860169999999993</c:v>
                </c:pt>
                <c:pt idx="23">
                  <c:v>8.3022659999999995</c:v>
                </c:pt>
                <c:pt idx="24">
                  <c:v>8.3284509999999994</c:v>
                </c:pt>
                <c:pt idx="25">
                  <c:v>8.3397400000000008</c:v>
                </c:pt>
                <c:pt idx="26">
                  <c:v>8.3703160000000008</c:v>
                </c:pt>
                <c:pt idx="27">
                  <c:v>8.360773</c:v>
                </c:pt>
                <c:pt idx="28">
                  <c:v>8.3558500000000002</c:v>
                </c:pt>
                <c:pt idx="29">
                  <c:v>8.3565550000000002</c:v>
                </c:pt>
                <c:pt idx="30">
                  <c:v>8.3121349999999996</c:v>
                </c:pt>
                <c:pt idx="31">
                  <c:v>8.3153220000000001</c:v>
                </c:pt>
                <c:pt idx="32">
                  <c:v>8.3466419999999992</c:v>
                </c:pt>
                <c:pt idx="33">
                  <c:v>8.4062610000000006</c:v>
                </c:pt>
                <c:pt idx="34">
                  <c:v>8.5185919999999999</c:v>
                </c:pt>
                <c:pt idx="35">
                  <c:v>8.6358639999999998</c:v>
                </c:pt>
                <c:pt idx="36">
                  <c:v>8.6903059999999996</c:v>
                </c:pt>
                <c:pt idx="37">
                  <c:v>8.7601390000000006</c:v>
                </c:pt>
                <c:pt idx="38">
                  <c:v>8.6330179999999999</c:v>
                </c:pt>
                <c:pt idx="39">
                  <c:v>8.5139879999999994</c:v>
                </c:pt>
                <c:pt idx="40">
                  <c:v>8.2284439999999996</c:v>
                </c:pt>
                <c:pt idx="41">
                  <c:v>7.1585140000000003</c:v>
                </c:pt>
                <c:pt idx="42">
                  <c:v>7.1884129999999997</c:v>
                </c:pt>
                <c:pt idx="43">
                  <c:v>7.2463680000000004</c:v>
                </c:pt>
                <c:pt idx="44">
                  <c:v>6.9314720000000003</c:v>
                </c:pt>
                <c:pt idx="45">
                  <c:v>7.3550019999999998</c:v>
                </c:pt>
                <c:pt idx="46">
                  <c:v>7.5342279999999997</c:v>
                </c:pt>
                <c:pt idx="47">
                  <c:v>7.6879970000000002</c:v>
                </c:pt>
                <c:pt idx="48">
                  <c:v>7.9327209999999999</c:v>
                </c:pt>
                <c:pt idx="49">
                  <c:v>8.086411</c:v>
                </c:pt>
                <c:pt idx="50">
                  <c:v>8.1825589999999995</c:v>
                </c:pt>
                <c:pt idx="51">
                  <c:v>8.2255029999999998</c:v>
                </c:pt>
                <c:pt idx="52">
                  <c:v>8.3128709999999995</c:v>
                </c:pt>
                <c:pt idx="53">
                  <c:v>8.3927630000000004</c:v>
                </c:pt>
                <c:pt idx="54">
                  <c:v>8.6061189999999996</c:v>
                </c:pt>
                <c:pt idx="55">
                  <c:v>8.7446470000000005</c:v>
                </c:pt>
                <c:pt idx="56">
                  <c:v>8.8437599999999996</c:v>
                </c:pt>
                <c:pt idx="57">
                  <c:v>8.9814299999999996</c:v>
                </c:pt>
                <c:pt idx="58">
                  <c:v>9.0904299999999996</c:v>
                </c:pt>
                <c:pt idx="59">
                  <c:v>9.2080369999999991</c:v>
                </c:pt>
                <c:pt idx="60">
                  <c:v>9.2885050000000007</c:v>
                </c:pt>
                <c:pt idx="61">
                  <c:v>9.3902429999999999</c:v>
                </c:pt>
                <c:pt idx="62">
                  <c:v>9.5971659999999996</c:v>
                </c:pt>
                <c:pt idx="63">
                  <c:v>9.7340619999999998</c:v>
                </c:pt>
                <c:pt idx="64">
                  <c:v>9.8826219999999996</c:v>
                </c:pt>
                <c:pt idx="65">
                  <c:v>10.08527</c:v>
                </c:pt>
                <c:pt idx="66">
                  <c:v>10.20374</c:v>
                </c:pt>
                <c:pt idx="67">
                  <c:v>10.32578</c:v>
                </c:pt>
                <c:pt idx="68">
                  <c:v>10.461069999999999</c:v>
                </c:pt>
                <c:pt idx="69">
                  <c:v>10.51285</c:v>
                </c:pt>
                <c:pt idx="70">
                  <c:v>10.563800000000001</c:v>
                </c:pt>
                <c:pt idx="71">
                  <c:v>10.590109999999999</c:v>
                </c:pt>
                <c:pt idx="72">
                  <c:v>10.637370000000001</c:v>
                </c:pt>
                <c:pt idx="73">
                  <c:v>10.597530000000001</c:v>
                </c:pt>
                <c:pt idx="74">
                  <c:v>10.57597</c:v>
                </c:pt>
                <c:pt idx="75">
                  <c:v>10.59646</c:v>
                </c:pt>
                <c:pt idx="76">
                  <c:v>10.62035</c:v>
                </c:pt>
                <c:pt idx="77">
                  <c:v>10.617319999999999</c:v>
                </c:pt>
                <c:pt idx="78">
                  <c:v>10.63571</c:v>
                </c:pt>
                <c:pt idx="79">
                  <c:v>10.615259999999999</c:v>
                </c:pt>
                <c:pt idx="80">
                  <c:v>10.60557</c:v>
                </c:pt>
                <c:pt idx="81">
                  <c:v>10.595129999999999</c:v>
                </c:pt>
                <c:pt idx="82">
                  <c:v>10.5581</c:v>
                </c:pt>
                <c:pt idx="83">
                  <c:v>10.489380000000001</c:v>
                </c:pt>
                <c:pt idx="84">
                  <c:v>10.3758</c:v>
                </c:pt>
              </c:numCache>
            </c:numRef>
          </c:yVal>
        </c:ser>
        <c:ser>
          <c:idx val="3"/>
          <c:order val="3"/>
          <c:tx>
            <c:strRef>
              <c:f>'Fit data'!$F$1</c:f>
              <c:strCache>
                <c:ptCount val="1"/>
                <c:pt idx="0">
                  <c:v>Japan fitted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'Fit data'!$D$2:$D$86</c:f>
              <c:numCache>
                <c:formatCode>General</c:formatCode>
                <c:ptCount val="85"/>
                <c:pt idx="0">
                  <c:v>1904</c:v>
                </c:pt>
                <c:pt idx="1">
                  <c:v>1905</c:v>
                </c:pt>
                <c:pt idx="2">
                  <c:v>1906</c:v>
                </c:pt>
                <c:pt idx="3">
                  <c:v>1907</c:v>
                </c:pt>
                <c:pt idx="4">
                  <c:v>1908</c:v>
                </c:pt>
                <c:pt idx="5">
                  <c:v>1909</c:v>
                </c:pt>
                <c:pt idx="6">
                  <c:v>1910</c:v>
                </c:pt>
                <c:pt idx="7">
                  <c:v>1911</c:v>
                </c:pt>
                <c:pt idx="8">
                  <c:v>1912</c:v>
                </c:pt>
                <c:pt idx="9">
                  <c:v>1913</c:v>
                </c:pt>
                <c:pt idx="10">
                  <c:v>1914</c:v>
                </c:pt>
                <c:pt idx="11">
                  <c:v>1915</c:v>
                </c:pt>
                <c:pt idx="12">
                  <c:v>1916</c:v>
                </c:pt>
                <c:pt idx="13">
                  <c:v>1917</c:v>
                </c:pt>
                <c:pt idx="14">
                  <c:v>1918</c:v>
                </c:pt>
                <c:pt idx="15">
                  <c:v>1919</c:v>
                </c:pt>
                <c:pt idx="16">
                  <c:v>1920</c:v>
                </c:pt>
                <c:pt idx="17">
                  <c:v>1921</c:v>
                </c:pt>
                <c:pt idx="18">
                  <c:v>1922</c:v>
                </c:pt>
                <c:pt idx="19">
                  <c:v>1923</c:v>
                </c:pt>
                <c:pt idx="20">
                  <c:v>1924</c:v>
                </c:pt>
                <c:pt idx="21">
                  <c:v>1925</c:v>
                </c:pt>
                <c:pt idx="22">
                  <c:v>1926</c:v>
                </c:pt>
                <c:pt idx="23">
                  <c:v>1927</c:v>
                </c:pt>
                <c:pt idx="24">
                  <c:v>1928</c:v>
                </c:pt>
                <c:pt idx="25">
                  <c:v>1929</c:v>
                </c:pt>
                <c:pt idx="26">
                  <c:v>1930</c:v>
                </c:pt>
                <c:pt idx="27">
                  <c:v>1931</c:v>
                </c:pt>
                <c:pt idx="28">
                  <c:v>1932</c:v>
                </c:pt>
                <c:pt idx="29">
                  <c:v>1933</c:v>
                </c:pt>
                <c:pt idx="30">
                  <c:v>1934</c:v>
                </c:pt>
                <c:pt idx="31">
                  <c:v>1935</c:v>
                </c:pt>
                <c:pt idx="32">
                  <c:v>1936</c:v>
                </c:pt>
                <c:pt idx="33">
                  <c:v>1937</c:v>
                </c:pt>
                <c:pt idx="34">
                  <c:v>1938</c:v>
                </c:pt>
                <c:pt idx="35">
                  <c:v>1939</c:v>
                </c:pt>
                <c:pt idx="36">
                  <c:v>1940</c:v>
                </c:pt>
                <c:pt idx="37">
                  <c:v>1941</c:v>
                </c:pt>
                <c:pt idx="38">
                  <c:v>1942</c:v>
                </c:pt>
                <c:pt idx="39">
                  <c:v>1943</c:v>
                </c:pt>
                <c:pt idx="40">
                  <c:v>1944</c:v>
                </c:pt>
                <c:pt idx="41">
                  <c:v>1945</c:v>
                </c:pt>
                <c:pt idx="42">
                  <c:v>1946</c:v>
                </c:pt>
                <c:pt idx="43">
                  <c:v>1947</c:v>
                </c:pt>
                <c:pt idx="44">
                  <c:v>1948</c:v>
                </c:pt>
                <c:pt idx="45">
                  <c:v>1949</c:v>
                </c:pt>
                <c:pt idx="46">
                  <c:v>1950</c:v>
                </c:pt>
                <c:pt idx="47">
                  <c:v>1951</c:v>
                </c:pt>
                <c:pt idx="48">
                  <c:v>1952</c:v>
                </c:pt>
                <c:pt idx="49">
                  <c:v>1953</c:v>
                </c:pt>
                <c:pt idx="50">
                  <c:v>1954</c:v>
                </c:pt>
                <c:pt idx="51">
                  <c:v>1955</c:v>
                </c:pt>
                <c:pt idx="52">
                  <c:v>1956</c:v>
                </c:pt>
                <c:pt idx="53">
                  <c:v>1957</c:v>
                </c:pt>
                <c:pt idx="54">
                  <c:v>1958</c:v>
                </c:pt>
                <c:pt idx="55">
                  <c:v>1959</c:v>
                </c:pt>
                <c:pt idx="56">
                  <c:v>1960</c:v>
                </c:pt>
                <c:pt idx="57">
                  <c:v>1961</c:v>
                </c:pt>
                <c:pt idx="58">
                  <c:v>1962</c:v>
                </c:pt>
                <c:pt idx="59">
                  <c:v>1963</c:v>
                </c:pt>
                <c:pt idx="60">
                  <c:v>1964</c:v>
                </c:pt>
                <c:pt idx="61">
                  <c:v>1965</c:v>
                </c:pt>
                <c:pt idx="62">
                  <c:v>1966</c:v>
                </c:pt>
                <c:pt idx="63">
                  <c:v>1967</c:v>
                </c:pt>
                <c:pt idx="64">
                  <c:v>1968</c:v>
                </c:pt>
                <c:pt idx="65">
                  <c:v>1969</c:v>
                </c:pt>
                <c:pt idx="66">
                  <c:v>1970</c:v>
                </c:pt>
                <c:pt idx="67">
                  <c:v>1971</c:v>
                </c:pt>
                <c:pt idx="68">
                  <c:v>1972</c:v>
                </c:pt>
                <c:pt idx="69">
                  <c:v>1973</c:v>
                </c:pt>
                <c:pt idx="70">
                  <c:v>1974</c:v>
                </c:pt>
                <c:pt idx="71">
                  <c:v>1975</c:v>
                </c:pt>
                <c:pt idx="72">
                  <c:v>1976</c:v>
                </c:pt>
                <c:pt idx="73">
                  <c:v>1977</c:v>
                </c:pt>
                <c:pt idx="74">
                  <c:v>1978</c:v>
                </c:pt>
                <c:pt idx="75">
                  <c:v>1979</c:v>
                </c:pt>
                <c:pt idx="76">
                  <c:v>1980</c:v>
                </c:pt>
                <c:pt idx="77">
                  <c:v>1981</c:v>
                </c:pt>
                <c:pt idx="78">
                  <c:v>1982</c:v>
                </c:pt>
                <c:pt idx="79">
                  <c:v>1983</c:v>
                </c:pt>
                <c:pt idx="80">
                  <c:v>1984</c:v>
                </c:pt>
                <c:pt idx="81">
                  <c:v>1985</c:v>
                </c:pt>
                <c:pt idx="82">
                  <c:v>1986</c:v>
                </c:pt>
                <c:pt idx="83">
                  <c:v>1987</c:v>
                </c:pt>
                <c:pt idx="84">
                  <c:v>1988</c:v>
                </c:pt>
              </c:numCache>
            </c:numRef>
          </c:xVal>
          <c:yVal>
            <c:numRef>
              <c:f>'Fit data'!$F$2:$F$86</c:f>
              <c:numCache>
                <c:formatCode>General</c:formatCode>
                <c:ptCount val="85"/>
                <c:pt idx="0">
                  <c:v>6.0317550000000004</c:v>
                </c:pt>
                <c:pt idx="1">
                  <c:v>6.3718469999999998</c:v>
                </c:pt>
                <c:pt idx="2">
                  <c:v>6.467149</c:v>
                </c:pt>
                <c:pt idx="3">
                  <c:v>6.6498900000000001</c:v>
                </c:pt>
                <c:pt idx="4">
                  <c:v>6.8436209999999997</c:v>
                </c:pt>
                <c:pt idx="5">
                  <c:v>7.0301830000000001</c:v>
                </c:pt>
                <c:pt idx="6">
                  <c:v>7.18133</c:v>
                </c:pt>
                <c:pt idx="7">
                  <c:v>7.2733489999999996</c:v>
                </c:pt>
                <c:pt idx="8">
                  <c:v>7.380185</c:v>
                </c:pt>
                <c:pt idx="9">
                  <c:v>7.5039819999999997</c:v>
                </c:pt>
                <c:pt idx="10">
                  <c:v>7.6818200000000001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7.767207</c:v>
                </c:pt>
                <c:pt idx="16">
                  <c:v>7.956245</c:v>
                </c:pt>
                <c:pt idx="17">
                  <c:v>7.9242119999999998</c:v>
                </c:pt>
                <c:pt idx="18">
                  <c:v>8.0323670000000007</c:v>
                </c:pt>
                <c:pt idx="19">
                  <c:v>8.1338010000000001</c:v>
                </c:pt>
                <c:pt idx="20">
                  <c:v>8.1981140000000003</c:v>
                </c:pt>
                <c:pt idx="21">
                  <c:v>8.2467659999999992</c:v>
                </c:pt>
                <c:pt idx="22">
                  <c:v>8.339893</c:v>
                </c:pt>
                <c:pt idx="23">
                  <c:v>8.4224840000000007</c:v>
                </c:pt>
                <c:pt idx="24">
                  <c:v>8.4181589999999993</c:v>
                </c:pt>
                <c:pt idx="25">
                  <c:v>8.4734090000000002</c:v>
                </c:pt>
                <c:pt idx="26">
                  <c:v>8.6697869999999995</c:v>
                </c:pt>
                <c:pt idx="27">
                  <c:v>8.7553070000000002</c:v>
                </c:pt>
                <c:pt idx="28">
                  <c:v>8.7435430000000007</c:v>
                </c:pt>
                <c:pt idx="29">
                  <c:v>8.7130159999999997</c:v>
                </c:pt>
                <c:pt idx="30">
                  <c:v>8.7991349999999997</c:v>
                </c:pt>
                <c:pt idx="31">
                  <c:v>8.8587369999999996</c:v>
                </c:pt>
                <c:pt idx="32">
                  <c:v>8.8530329999999999</c:v>
                </c:pt>
                <c:pt idx="33">
                  <c:v>8.8828390000000006</c:v>
                </c:pt>
                <c:pt idx="34">
                  <c:v>8.8712169999999997</c:v>
                </c:pt>
                <c:pt idx="35">
                  <c:v>8.7473960000000002</c:v>
                </c:pt>
                <c:pt idx="36">
                  <c:v>8.781606</c:v>
                </c:pt>
                <c:pt idx="37">
                  <c:v>8.8487380000000009</c:v>
                </c:pt>
                <c:pt idx="38">
                  <c:v>8.9394100000000005</c:v>
                </c:pt>
                <c:pt idx="39">
                  <c:v>9.0018170000000008</c:v>
                </c:pt>
                <c:pt idx="40">
                  <c:v>9.1460019999999993</c:v>
                </c:pt>
                <c:pt idx="41">
                  <c:v>10.08183</c:v>
                </c:pt>
                <c:pt idx="42">
                  <c:v>10.0512</c:v>
                </c:pt>
                <c:pt idx="43">
                  <c:v>10.026490000000001</c:v>
                </c:pt>
                <c:pt idx="44">
                  <c:v>9.9516369999999998</c:v>
                </c:pt>
                <c:pt idx="45">
                  <c:v>9.9663079999999997</c:v>
                </c:pt>
                <c:pt idx="46">
                  <c:v>9.9502989999999993</c:v>
                </c:pt>
                <c:pt idx="47">
                  <c:v>9.8798729999999999</c:v>
                </c:pt>
                <c:pt idx="48">
                  <c:v>9.8170289999999998</c:v>
                </c:pt>
                <c:pt idx="49">
                  <c:v>9.8015550000000005</c:v>
                </c:pt>
                <c:pt idx="50">
                  <c:v>9.8039839999999998</c:v>
                </c:pt>
                <c:pt idx="51">
                  <c:v>9.7684560000000005</c:v>
                </c:pt>
                <c:pt idx="52">
                  <c:v>9.7426359999999992</c:v>
                </c:pt>
                <c:pt idx="53">
                  <c:v>9.7148850000000007</c:v>
                </c:pt>
                <c:pt idx="54">
                  <c:v>9.7057669999999998</c:v>
                </c:pt>
                <c:pt idx="55">
                  <c:v>9.657743</c:v>
                </c:pt>
                <c:pt idx="56">
                  <c:v>9.5588639999999998</c:v>
                </c:pt>
                <c:pt idx="57">
                  <c:v>9.4736530000000005</c:v>
                </c:pt>
                <c:pt idx="58">
                  <c:v>9.4261009999999992</c:v>
                </c:pt>
                <c:pt idx="59">
                  <c:v>9.3857730000000004</c:v>
                </c:pt>
                <c:pt idx="60">
                  <c:v>9.3074130000000004</c:v>
                </c:pt>
                <c:pt idx="61">
                  <c:v>9.3004680000000004</c:v>
                </c:pt>
                <c:pt idx="62">
                  <c:v>9.230817</c:v>
                </c:pt>
                <c:pt idx="63">
                  <c:v>9.1584400000000006</c:v>
                </c:pt>
                <c:pt idx="64">
                  <c:v>9.0667360000000006</c:v>
                </c:pt>
                <c:pt idx="65">
                  <c:v>8.9808839999999996</c:v>
                </c:pt>
                <c:pt idx="66">
                  <c:v>8.9145780000000006</c:v>
                </c:pt>
                <c:pt idx="67">
                  <c:v>8.9253520000000002</c:v>
                </c:pt>
                <c:pt idx="68">
                  <c:v>8.8925630000000009</c:v>
                </c:pt>
                <c:pt idx="69">
                  <c:v>8.86435</c:v>
                </c:pt>
                <c:pt idx="70">
                  <c:v>8.9523910000000004</c:v>
                </c:pt>
                <c:pt idx="71">
                  <c:v>8.9824680000000008</c:v>
                </c:pt>
                <c:pt idx="72">
                  <c:v>8.9964410000000008</c:v>
                </c:pt>
                <c:pt idx="73">
                  <c:v>9.0025910000000007</c:v>
                </c:pt>
                <c:pt idx="74">
                  <c:v>8.9961000000000002</c:v>
                </c:pt>
                <c:pt idx="75">
                  <c:v>8.9853339999999999</c:v>
                </c:pt>
                <c:pt idx="76">
                  <c:v>9.0068280000000005</c:v>
                </c:pt>
                <c:pt idx="77">
                  <c:v>9.0220000000000002</c:v>
                </c:pt>
                <c:pt idx="78">
                  <c:v>9.0376860000000008</c:v>
                </c:pt>
                <c:pt idx="79">
                  <c:v>9.062716</c:v>
                </c:pt>
                <c:pt idx="80">
                  <c:v>9.0661039999999993</c:v>
                </c:pt>
                <c:pt idx="81">
                  <c:v>9.0622240000000005</c:v>
                </c:pt>
                <c:pt idx="82">
                  <c:v>9.077674</c:v>
                </c:pt>
                <c:pt idx="83">
                  <c:v>9.0741669999999992</c:v>
                </c:pt>
                <c:pt idx="84">
                  <c:v>9.0434549999999998</c:v>
                </c:pt>
              </c:numCache>
            </c:numRef>
          </c:yVal>
        </c:ser>
        <c:ser>
          <c:idx val="4"/>
          <c:order val="4"/>
          <c:tx>
            <c:strRef>
              <c:f>'Fit data'!$H$1</c:f>
              <c:strCache>
                <c:ptCount val="1"/>
                <c:pt idx="0">
                  <c:v>Argentina actual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'Fit data'!$G$2:$G$99</c:f>
              <c:numCache>
                <c:formatCode>General</c:formatCode>
                <c:ptCount val="98"/>
                <c:pt idx="0">
                  <c:v>1888</c:v>
                </c:pt>
                <c:pt idx="1">
                  <c:v>1889</c:v>
                </c:pt>
                <c:pt idx="2">
                  <c:v>1890</c:v>
                </c:pt>
                <c:pt idx="3">
                  <c:v>1891</c:v>
                </c:pt>
                <c:pt idx="4">
                  <c:v>1892</c:v>
                </c:pt>
                <c:pt idx="5">
                  <c:v>1893</c:v>
                </c:pt>
                <c:pt idx="6">
                  <c:v>1894</c:v>
                </c:pt>
                <c:pt idx="7">
                  <c:v>1895</c:v>
                </c:pt>
                <c:pt idx="8">
                  <c:v>1896</c:v>
                </c:pt>
                <c:pt idx="9">
                  <c:v>1897</c:v>
                </c:pt>
                <c:pt idx="10">
                  <c:v>1898</c:v>
                </c:pt>
                <c:pt idx="11">
                  <c:v>1899</c:v>
                </c:pt>
                <c:pt idx="12">
                  <c:v>1900</c:v>
                </c:pt>
                <c:pt idx="13">
                  <c:v>1901</c:v>
                </c:pt>
                <c:pt idx="14">
                  <c:v>1902</c:v>
                </c:pt>
                <c:pt idx="15">
                  <c:v>1903</c:v>
                </c:pt>
                <c:pt idx="16">
                  <c:v>1904</c:v>
                </c:pt>
                <c:pt idx="17">
                  <c:v>1905</c:v>
                </c:pt>
                <c:pt idx="18">
                  <c:v>1906</c:v>
                </c:pt>
                <c:pt idx="19">
                  <c:v>1907</c:v>
                </c:pt>
                <c:pt idx="20">
                  <c:v>1908</c:v>
                </c:pt>
                <c:pt idx="21">
                  <c:v>1909</c:v>
                </c:pt>
                <c:pt idx="22">
                  <c:v>1910</c:v>
                </c:pt>
                <c:pt idx="23">
                  <c:v>1911</c:v>
                </c:pt>
                <c:pt idx="24">
                  <c:v>1912</c:v>
                </c:pt>
                <c:pt idx="25">
                  <c:v>1913</c:v>
                </c:pt>
                <c:pt idx="26">
                  <c:v>1914</c:v>
                </c:pt>
                <c:pt idx="27">
                  <c:v>1915</c:v>
                </c:pt>
                <c:pt idx="28">
                  <c:v>1916</c:v>
                </c:pt>
                <c:pt idx="29">
                  <c:v>1917</c:v>
                </c:pt>
                <c:pt idx="30">
                  <c:v>1918</c:v>
                </c:pt>
                <c:pt idx="31">
                  <c:v>1919</c:v>
                </c:pt>
                <c:pt idx="32">
                  <c:v>1920</c:v>
                </c:pt>
                <c:pt idx="33">
                  <c:v>1921</c:v>
                </c:pt>
                <c:pt idx="34">
                  <c:v>1922</c:v>
                </c:pt>
                <c:pt idx="35">
                  <c:v>1923</c:v>
                </c:pt>
                <c:pt idx="36">
                  <c:v>1924</c:v>
                </c:pt>
                <c:pt idx="37">
                  <c:v>1925</c:v>
                </c:pt>
                <c:pt idx="38">
                  <c:v>1926</c:v>
                </c:pt>
                <c:pt idx="39">
                  <c:v>1927</c:v>
                </c:pt>
                <c:pt idx="40">
                  <c:v>1928</c:v>
                </c:pt>
                <c:pt idx="41">
                  <c:v>1929</c:v>
                </c:pt>
                <c:pt idx="42">
                  <c:v>1930</c:v>
                </c:pt>
                <c:pt idx="43">
                  <c:v>1931</c:v>
                </c:pt>
                <c:pt idx="44">
                  <c:v>1932</c:v>
                </c:pt>
                <c:pt idx="45">
                  <c:v>1933</c:v>
                </c:pt>
                <c:pt idx="46">
                  <c:v>1934</c:v>
                </c:pt>
                <c:pt idx="47">
                  <c:v>1935</c:v>
                </c:pt>
                <c:pt idx="48">
                  <c:v>1936</c:v>
                </c:pt>
                <c:pt idx="49">
                  <c:v>1937</c:v>
                </c:pt>
                <c:pt idx="50">
                  <c:v>1938</c:v>
                </c:pt>
                <c:pt idx="51">
                  <c:v>1939</c:v>
                </c:pt>
                <c:pt idx="52">
                  <c:v>1940</c:v>
                </c:pt>
                <c:pt idx="53">
                  <c:v>1941</c:v>
                </c:pt>
                <c:pt idx="54">
                  <c:v>1942</c:v>
                </c:pt>
                <c:pt idx="55">
                  <c:v>1943</c:v>
                </c:pt>
                <c:pt idx="56">
                  <c:v>1944</c:v>
                </c:pt>
                <c:pt idx="57">
                  <c:v>1945</c:v>
                </c:pt>
                <c:pt idx="58">
                  <c:v>1946</c:v>
                </c:pt>
                <c:pt idx="59">
                  <c:v>1947</c:v>
                </c:pt>
                <c:pt idx="60">
                  <c:v>1948</c:v>
                </c:pt>
                <c:pt idx="61">
                  <c:v>1949</c:v>
                </c:pt>
                <c:pt idx="62">
                  <c:v>1950</c:v>
                </c:pt>
                <c:pt idx="63">
                  <c:v>1951</c:v>
                </c:pt>
                <c:pt idx="64">
                  <c:v>1952</c:v>
                </c:pt>
                <c:pt idx="65">
                  <c:v>1953</c:v>
                </c:pt>
                <c:pt idx="66">
                  <c:v>1954</c:v>
                </c:pt>
                <c:pt idx="67">
                  <c:v>1955</c:v>
                </c:pt>
                <c:pt idx="68">
                  <c:v>1956</c:v>
                </c:pt>
                <c:pt idx="69">
                  <c:v>1957</c:v>
                </c:pt>
                <c:pt idx="70">
                  <c:v>1958</c:v>
                </c:pt>
                <c:pt idx="71">
                  <c:v>1959</c:v>
                </c:pt>
                <c:pt idx="72">
                  <c:v>1960</c:v>
                </c:pt>
                <c:pt idx="73">
                  <c:v>1961</c:v>
                </c:pt>
                <c:pt idx="74">
                  <c:v>1962</c:v>
                </c:pt>
                <c:pt idx="75">
                  <c:v>1963</c:v>
                </c:pt>
                <c:pt idx="76">
                  <c:v>1964</c:v>
                </c:pt>
                <c:pt idx="77">
                  <c:v>1965</c:v>
                </c:pt>
                <c:pt idx="78">
                  <c:v>1966</c:v>
                </c:pt>
                <c:pt idx="79">
                  <c:v>1967</c:v>
                </c:pt>
                <c:pt idx="80">
                  <c:v>1968</c:v>
                </c:pt>
                <c:pt idx="81">
                  <c:v>1969</c:v>
                </c:pt>
                <c:pt idx="82">
                  <c:v>1970</c:v>
                </c:pt>
                <c:pt idx="83">
                  <c:v>1971</c:v>
                </c:pt>
                <c:pt idx="84">
                  <c:v>1972</c:v>
                </c:pt>
                <c:pt idx="85">
                  <c:v>1973</c:v>
                </c:pt>
                <c:pt idx="86">
                  <c:v>1974</c:v>
                </c:pt>
                <c:pt idx="87">
                  <c:v>1975</c:v>
                </c:pt>
                <c:pt idx="88">
                  <c:v>1976</c:v>
                </c:pt>
                <c:pt idx="89">
                  <c:v>1977</c:v>
                </c:pt>
                <c:pt idx="90">
                  <c:v>1978</c:v>
                </c:pt>
                <c:pt idx="91">
                  <c:v>1979</c:v>
                </c:pt>
                <c:pt idx="92">
                  <c:v>1980</c:v>
                </c:pt>
                <c:pt idx="93">
                  <c:v>1981</c:v>
                </c:pt>
                <c:pt idx="94">
                  <c:v>1982</c:v>
                </c:pt>
                <c:pt idx="95">
                  <c:v>1983</c:v>
                </c:pt>
                <c:pt idx="96">
                  <c:v>1984</c:v>
                </c:pt>
                <c:pt idx="97">
                  <c:v>1985</c:v>
                </c:pt>
              </c:numCache>
            </c:numRef>
          </c:xVal>
          <c:yVal>
            <c:numRef>
              <c:f>'Fit data'!$H$2:$H$99</c:f>
              <c:numCache>
                <c:formatCode>General</c:formatCode>
                <c:ptCount val="98"/>
                <c:pt idx="0">
                  <c:v>3.135494</c:v>
                </c:pt>
                <c:pt idx="1">
                  <c:v>3.1780539999999999</c:v>
                </c:pt>
                <c:pt idx="2">
                  <c:v>3.2188759999999998</c:v>
                </c:pt>
                <c:pt idx="3">
                  <c:v>3.3672960000000001</c:v>
                </c:pt>
                <c:pt idx="4">
                  <c:v>3.2188759999999998</c:v>
                </c:pt>
                <c:pt idx="5">
                  <c:v>3.5835189999999999</c:v>
                </c:pt>
                <c:pt idx="6">
                  <c:v>3.4965079999999999</c:v>
                </c:pt>
                <c:pt idx="7">
                  <c:v>3.5263610000000001</c:v>
                </c:pt>
                <c:pt idx="8">
                  <c:v>3.7612000000000001</c:v>
                </c:pt>
                <c:pt idx="9">
                  <c:v>3.8286410000000002</c:v>
                </c:pt>
                <c:pt idx="10">
                  <c:v>3.8712010000000001</c:v>
                </c:pt>
                <c:pt idx="11">
                  <c:v>4.0604430000000002</c:v>
                </c:pt>
                <c:pt idx="12">
                  <c:v>4.1271339999999999</c:v>
                </c:pt>
                <c:pt idx="13">
                  <c:v>4.0943449999999997</c:v>
                </c:pt>
                <c:pt idx="14">
                  <c:v>4.1896550000000001</c:v>
                </c:pt>
                <c:pt idx="15">
                  <c:v>4.2904600000000004</c:v>
                </c:pt>
                <c:pt idx="16">
                  <c:v>4.3694480000000002</c:v>
                </c:pt>
                <c:pt idx="17">
                  <c:v>4.4426509999999997</c:v>
                </c:pt>
                <c:pt idx="18">
                  <c:v>4.75359</c:v>
                </c:pt>
                <c:pt idx="19">
                  <c:v>4.70953</c:v>
                </c:pt>
                <c:pt idx="20">
                  <c:v>4.70953</c:v>
                </c:pt>
                <c:pt idx="21">
                  <c:v>4.7273880000000004</c:v>
                </c:pt>
                <c:pt idx="22">
                  <c:v>4.8598119999999998</c:v>
                </c:pt>
                <c:pt idx="23">
                  <c:v>4.9836070000000001</c:v>
                </c:pt>
                <c:pt idx="24">
                  <c:v>5.0106349999999997</c:v>
                </c:pt>
                <c:pt idx="25">
                  <c:v>5.0562459999999998</c:v>
                </c:pt>
                <c:pt idx="26">
                  <c:v>5.0998659999999996</c:v>
                </c:pt>
                <c:pt idx="27">
                  <c:v>5.0875959999999996</c:v>
                </c:pt>
                <c:pt idx="28">
                  <c:v>4.9904330000000003</c:v>
                </c:pt>
                <c:pt idx="29">
                  <c:v>4.9628449999999997</c:v>
                </c:pt>
                <c:pt idx="30">
                  <c:v>4.9344739999999998</c:v>
                </c:pt>
                <c:pt idx="31">
                  <c:v>5.09375</c:v>
                </c:pt>
                <c:pt idx="32">
                  <c:v>5.003946</c:v>
                </c:pt>
                <c:pt idx="33">
                  <c:v>5.0751739999999996</c:v>
                </c:pt>
                <c:pt idx="34">
                  <c:v>5.0875959999999996</c:v>
                </c:pt>
                <c:pt idx="35">
                  <c:v>5.081404</c:v>
                </c:pt>
                <c:pt idx="36">
                  <c:v>5.1873860000000001</c:v>
                </c:pt>
                <c:pt idx="37">
                  <c:v>5.3132060000000001</c:v>
                </c:pt>
                <c:pt idx="38">
                  <c:v>5.3752779999999998</c:v>
                </c:pt>
                <c:pt idx="39">
                  <c:v>5.47227</c:v>
                </c:pt>
                <c:pt idx="40">
                  <c:v>5.5797299999999996</c:v>
                </c:pt>
                <c:pt idx="41">
                  <c:v>5.616771</c:v>
                </c:pt>
                <c:pt idx="42">
                  <c:v>5.6970929999999997</c:v>
                </c:pt>
                <c:pt idx="43">
                  <c:v>5.7137330000000004</c:v>
                </c:pt>
                <c:pt idx="44">
                  <c:v>5.7430029999999999</c:v>
                </c:pt>
                <c:pt idx="45">
                  <c:v>5.7620519999999997</c:v>
                </c:pt>
                <c:pt idx="46">
                  <c:v>5.7557419999999997</c:v>
                </c:pt>
                <c:pt idx="47">
                  <c:v>5.758902</c:v>
                </c:pt>
                <c:pt idx="48">
                  <c:v>5.7203119999999998</c:v>
                </c:pt>
                <c:pt idx="49">
                  <c:v>5.6801719999999998</c:v>
                </c:pt>
                <c:pt idx="50">
                  <c:v>5.6383549999999998</c:v>
                </c:pt>
                <c:pt idx="51">
                  <c:v>5.6733229999999999</c:v>
                </c:pt>
                <c:pt idx="52">
                  <c:v>#N/A</c:v>
                </c:pt>
                <c:pt idx="53">
                  <c:v>5.8692970000000004</c:v>
                </c:pt>
                <c:pt idx="54">
                  <c:v>6.3473889999999997</c:v>
                </c:pt>
                <c:pt idx="55">
                  <c:v>6.5264949999999997</c:v>
                </c:pt>
                <c:pt idx="56">
                  <c:v>6.7019609999999998</c:v>
                </c:pt>
                <c:pt idx="57">
                  <c:v>6.817831</c:v>
                </c:pt>
                <c:pt idx="58">
                  <c:v>6.8865319999999999</c:v>
                </c:pt>
                <c:pt idx="59">
                  <c:v>6.9411899999999997</c:v>
                </c:pt>
                <c:pt idx="60">
                  <c:v>6.96319</c:v>
                </c:pt>
                <c:pt idx="61">
                  <c:v>6.96319</c:v>
                </c:pt>
                <c:pt idx="62">
                  <c:v>6.9498559999999996</c:v>
                </c:pt>
                <c:pt idx="63">
                  <c:v>6.9565450000000002</c:v>
                </c:pt>
                <c:pt idx="64">
                  <c:v>6.9460139999999999</c:v>
                </c:pt>
                <c:pt idx="65">
                  <c:v>6.9363429999999999</c:v>
                </c:pt>
                <c:pt idx="66">
                  <c:v>6.9460139999999999</c:v>
                </c:pt>
                <c:pt idx="67">
                  <c:v>6.9488969999999997</c:v>
                </c:pt>
                <c:pt idx="68">
                  <c:v>7.0859009999999998</c:v>
                </c:pt>
                <c:pt idx="69">
                  <c:v>7.1404529999999999</c:v>
                </c:pt>
                <c:pt idx="70">
                  <c:v>7.1762550000000003</c:v>
                </c:pt>
                <c:pt idx="71">
                  <c:v>7.1577349999999997</c:v>
                </c:pt>
                <c:pt idx="72">
                  <c:v>7.1616220000000004</c:v>
                </c:pt>
                <c:pt idx="73">
                  <c:v>7.1538339999999998</c:v>
                </c:pt>
                <c:pt idx="74">
                  <c:v>7.1228670000000003</c:v>
                </c:pt>
                <c:pt idx="75">
                  <c:v>7.087574</c:v>
                </c:pt>
                <c:pt idx="76">
                  <c:v>7.104965</c:v>
                </c:pt>
                <c:pt idx="77">
                  <c:v>7.143618</c:v>
                </c:pt>
                <c:pt idx="78">
                  <c:v>7.1793079999999998</c:v>
                </c:pt>
                <c:pt idx="79">
                  <c:v>7.244942</c:v>
                </c:pt>
                <c:pt idx="80">
                  <c:v>7.2813860000000004</c:v>
                </c:pt>
                <c:pt idx="81">
                  <c:v>7.2499260000000003</c:v>
                </c:pt>
                <c:pt idx="82">
                  <c:v>7.2772480000000002</c:v>
                </c:pt>
                <c:pt idx="83">
                  <c:v>7.293018</c:v>
                </c:pt>
                <c:pt idx="84">
                  <c:v>7.4247620000000003</c:v>
                </c:pt>
                <c:pt idx="85">
                  <c:v>7.6014020000000002</c:v>
                </c:pt>
                <c:pt idx="86">
                  <c:v>7.759614</c:v>
                </c:pt>
                <c:pt idx="87">
                  <c:v>7.8422790000000004</c:v>
                </c:pt>
                <c:pt idx="88">
                  <c:v>7.743703</c:v>
                </c:pt>
                <c:pt idx="89">
                  <c:v>7.721349</c:v>
                </c:pt>
                <c:pt idx="90">
                  <c:v>7.8119740000000002</c:v>
                </c:pt>
                <c:pt idx="91">
                  <c:v>7.7923489999999997</c:v>
                </c:pt>
                <c:pt idx="92">
                  <c:v>7.8066959999999996</c:v>
                </c:pt>
                <c:pt idx="93">
                  <c:v>7.6577549999999999</c:v>
                </c:pt>
                <c:pt idx="94">
                  <c:v>7.550135</c:v>
                </c:pt>
                <c:pt idx="95">
                  <c:v>7.5374299999999996</c:v>
                </c:pt>
                <c:pt idx="96">
                  <c:v>7.5137090000000004</c:v>
                </c:pt>
                <c:pt idx="97">
                  <c:v>7.5443319999999998</c:v>
                </c:pt>
              </c:numCache>
            </c:numRef>
          </c:yVal>
        </c:ser>
        <c:ser>
          <c:idx val="5"/>
          <c:order val="5"/>
          <c:tx>
            <c:strRef>
              <c:f>'Fit data'!$I$1</c:f>
              <c:strCache>
                <c:ptCount val="1"/>
                <c:pt idx="0">
                  <c:v>Argentina fitted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'Fit data'!$G$2:$G$99</c:f>
              <c:numCache>
                <c:formatCode>General</c:formatCode>
                <c:ptCount val="98"/>
                <c:pt idx="0">
                  <c:v>1888</c:v>
                </c:pt>
                <c:pt idx="1">
                  <c:v>1889</c:v>
                </c:pt>
                <c:pt idx="2">
                  <c:v>1890</c:v>
                </c:pt>
                <c:pt idx="3">
                  <c:v>1891</c:v>
                </c:pt>
                <c:pt idx="4">
                  <c:v>1892</c:v>
                </c:pt>
                <c:pt idx="5">
                  <c:v>1893</c:v>
                </c:pt>
                <c:pt idx="6">
                  <c:v>1894</c:v>
                </c:pt>
                <c:pt idx="7">
                  <c:v>1895</c:v>
                </c:pt>
                <c:pt idx="8">
                  <c:v>1896</c:v>
                </c:pt>
                <c:pt idx="9">
                  <c:v>1897</c:v>
                </c:pt>
                <c:pt idx="10">
                  <c:v>1898</c:v>
                </c:pt>
                <c:pt idx="11">
                  <c:v>1899</c:v>
                </c:pt>
                <c:pt idx="12">
                  <c:v>1900</c:v>
                </c:pt>
                <c:pt idx="13">
                  <c:v>1901</c:v>
                </c:pt>
                <c:pt idx="14">
                  <c:v>1902</c:v>
                </c:pt>
                <c:pt idx="15">
                  <c:v>1903</c:v>
                </c:pt>
                <c:pt idx="16">
                  <c:v>1904</c:v>
                </c:pt>
                <c:pt idx="17">
                  <c:v>1905</c:v>
                </c:pt>
                <c:pt idx="18">
                  <c:v>1906</c:v>
                </c:pt>
                <c:pt idx="19">
                  <c:v>1907</c:v>
                </c:pt>
                <c:pt idx="20">
                  <c:v>1908</c:v>
                </c:pt>
                <c:pt idx="21">
                  <c:v>1909</c:v>
                </c:pt>
                <c:pt idx="22">
                  <c:v>1910</c:v>
                </c:pt>
                <c:pt idx="23">
                  <c:v>1911</c:v>
                </c:pt>
                <c:pt idx="24">
                  <c:v>1912</c:v>
                </c:pt>
                <c:pt idx="25">
                  <c:v>1913</c:v>
                </c:pt>
                <c:pt idx="26">
                  <c:v>1914</c:v>
                </c:pt>
                <c:pt idx="27">
                  <c:v>1915</c:v>
                </c:pt>
                <c:pt idx="28">
                  <c:v>1916</c:v>
                </c:pt>
                <c:pt idx="29">
                  <c:v>1917</c:v>
                </c:pt>
                <c:pt idx="30">
                  <c:v>1918</c:v>
                </c:pt>
                <c:pt idx="31">
                  <c:v>1919</c:v>
                </c:pt>
                <c:pt idx="32">
                  <c:v>1920</c:v>
                </c:pt>
                <c:pt idx="33">
                  <c:v>1921</c:v>
                </c:pt>
                <c:pt idx="34">
                  <c:v>1922</c:v>
                </c:pt>
                <c:pt idx="35">
                  <c:v>1923</c:v>
                </c:pt>
                <c:pt idx="36">
                  <c:v>1924</c:v>
                </c:pt>
                <c:pt idx="37">
                  <c:v>1925</c:v>
                </c:pt>
                <c:pt idx="38">
                  <c:v>1926</c:v>
                </c:pt>
                <c:pt idx="39">
                  <c:v>1927</c:v>
                </c:pt>
                <c:pt idx="40">
                  <c:v>1928</c:v>
                </c:pt>
                <c:pt idx="41">
                  <c:v>1929</c:v>
                </c:pt>
                <c:pt idx="42">
                  <c:v>1930</c:v>
                </c:pt>
                <c:pt idx="43">
                  <c:v>1931</c:v>
                </c:pt>
                <c:pt idx="44">
                  <c:v>1932</c:v>
                </c:pt>
                <c:pt idx="45">
                  <c:v>1933</c:v>
                </c:pt>
                <c:pt idx="46">
                  <c:v>1934</c:v>
                </c:pt>
                <c:pt idx="47">
                  <c:v>1935</c:v>
                </c:pt>
                <c:pt idx="48">
                  <c:v>1936</c:v>
                </c:pt>
                <c:pt idx="49">
                  <c:v>1937</c:v>
                </c:pt>
                <c:pt idx="50">
                  <c:v>1938</c:v>
                </c:pt>
                <c:pt idx="51">
                  <c:v>1939</c:v>
                </c:pt>
                <c:pt idx="52">
                  <c:v>1940</c:v>
                </c:pt>
                <c:pt idx="53">
                  <c:v>1941</c:v>
                </c:pt>
                <c:pt idx="54">
                  <c:v>1942</c:v>
                </c:pt>
                <c:pt idx="55">
                  <c:v>1943</c:v>
                </c:pt>
                <c:pt idx="56">
                  <c:v>1944</c:v>
                </c:pt>
                <c:pt idx="57">
                  <c:v>1945</c:v>
                </c:pt>
                <c:pt idx="58">
                  <c:v>1946</c:v>
                </c:pt>
                <c:pt idx="59">
                  <c:v>1947</c:v>
                </c:pt>
                <c:pt idx="60">
                  <c:v>1948</c:v>
                </c:pt>
                <c:pt idx="61">
                  <c:v>1949</c:v>
                </c:pt>
                <c:pt idx="62">
                  <c:v>1950</c:v>
                </c:pt>
                <c:pt idx="63">
                  <c:v>1951</c:v>
                </c:pt>
                <c:pt idx="64">
                  <c:v>1952</c:v>
                </c:pt>
                <c:pt idx="65">
                  <c:v>1953</c:v>
                </c:pt>
                <c:pt idx="66">
                  <c:v>1954</c:v>
                </c:pt>
                <c:pt idx="67">
                  <c:v>1955</c:v>
                </c:pt>
                <c:pt idx="68">
                  <c:v>1956</c:v>
                </c:pt>
                <c:pt idx="69">
                  <c:v>1957</c:v>
                </c:pt>
                <c:pt idx="70">
                  <c:v>1958</c:v>
                </c:pt>
                <c:pt idx="71">
                  <c:v>1959</c:v>
                </c:pt>
                <c:pt idx="72">
                  <c:v>1960</c:v>
                </c:pt>
                <c:pt idx="73">
                  <c:v>1961</c:v>
                </c:pt>
                <c:pt idx="74">
                  <c:v>1962</c:v>
                </c:pt>
                <c:pt idx="75">
                  <c:v>1963</c:v>
                </c:pt>
                <c:pt idx="76">
                  <c:v>1964</c:v>
                </c:pt>
                <c:pt idx="77">
                  <c:v>1965</c:v>
                </c:pt>
                <c:pt idx="78">
                  <c:v>1966</c:v>
                </c:pt>
                <c:pt idx="79">
                  <c:v>1967</c:v>
                </c:pt>
                <c:pt idx="80">
                  <c:v>1968</c:v>
                </c:pt>
                <c:pt idx="81">
                  <c:v>1969</c:v>
                </c:pt>
                <c:pt idx="82">
                  <c:v>1970</c:v>
                </c:pt>
                <c:pt idx="83">
                  <c:v>1971</c:v>
                </c:pt>
                <c:pt idx="84">
                  <c:v>1972</c:v>
                </c:pt>
                <c:pt idx="85">
                  <c:v>1973</c:v>
                </c:pt>
                <c:pt idx="86">
                  <c:v>1974</c:v>
                </c:pt>
                <c:pt idx="87">
                  <c:v>1975</c:v>
                </c:pt>
                <c:pt idx="88">
                  <c:v>1976</c:v>
                </c:pt>
                <c:pt idx="89">
                  <c:v>1977</c:v>
                </c:pt>
                <c:pt idx="90">
                  <c:v>1978</c:v>
                </c:pt>
                <c:pt idx="91">
                  <c:v>1979</c:v>
                </c:pt>
                <c:pt idx="92">
                  <c:v>1980</c:v>
                </c:pt>
                <c:pt idx="93">
                  <c:v>1981</c:v>
                </c:pt>
                <c:pt idx="94">
                  <c:v>1982</c:v>
                </c:pt>
                <c:pt idx="95">
                  <c:v>1983</c:v>
                </c:pt>
                <c:pt idx="96">
                  <c:v>1984</c:v>
                </c:pt>
                <c:pt idx="97">
                  <c:v>1985</c:v>
                </c:pt>
              </c:numCache>
            </c:numRef>
          </c:xVal>
          <c:yVal>
            <c:numRef>
              <c:f>'Fit data'!$I$2:$I$99</c:f>
              <c:numCache>
                <c:formatCode>General</c:formatCode>
                <c:ptCount val="98"/>
                <c:pt idx="0">
                  <c:v>#N/A</c:v>
                </c:pt>
                <c:pt idx="1">
                  <c:v>#N/A</c:v>
                </c:pt>
                <c:pt idx="2">
                  <c:v>3.5648360000000001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4.0742649999999996</c:v>
                </c:pt>
                <c:pt idx="13">
                  <c:v>4.1013070000000003</c:v>
                </c:pt>
                <c:pt idx="14">
                  <c:v>4.2637169999999998</c:v>
                </c:pt>
                <c:pt idx="15">
                  <c:v>4.2207809999999997</c:v>
                </c:pt>
                <c:pt idx="16">
                  <c:v>4.220135</c:v>
                </c:pt>
                <c:pt idx="17">
                  <c:v>4.1901570000000001</c:v>
                </c:pt>
                <c:pt idx="18">
                  <c:v>4.2587299999999999</c:v>
                </c:pt>
                <c:pt idx="19">
                  <c:v>4.3642760000000003</c:v>
                </c:pt>
                <c:pt idx="20">
                  <c:v>4.3737880000000002</c:v>
                </c:pt>
                <c:pt idx="21">
                  <c:v>4.4414129999999998</c:v>
                </c:pt>
                <c:pt idx="22">
                  <c:v>4.4804440000000003</c:v>
                </c:pt>
                <c:pt idx="23">
                  <c:v>4.5887349999999998</c:v>
                </c:pt>
                <c:pt idx="24">
                  <c:v>4.6160449999999997</c:v>
                </c:pt>
                <c:pt idx="25">
                  <c:v>4.7339479999999998</c:v>
                </c:pt>
                <c:pt idx="26">
                  <c:v>4.9916289999999996</c:v>
                </c:pt>
                <c:pt idx="27">
                  <c:v>5.0818880000000002</c:v>
                </c:pt>
                <c:pt idx="28">
                  <c:v>5.207344</c:v>
                </c:pt>
                <c:pt idx="29">
                  <c:v>5.4031140000000004</c:v>
                </c:pt>
                <c:pt idx="30">
                  <c:v>5.2621909999999996</c:v>
                </c:pt>
                <c:pt idx="31">
                  <c:v>5.2983739999999999</c:v>
                </c:pt>
                <c:pt idx="32">
                  <c:v>5.2975120000000002</c:v>
                </c:pt>
                <c:pt idx="33">
                  <c:v>5.3658130000000002</c:v>
                </c:pt>
                <c:pt idx="34">
                  <c:v>5.3762270000000001</c:v>
                </c:pt>
                <c:pt idx="35">
                  <c:v>5.3612859999999998</c:v>
                </c:pt>
                <c:pt idx="36">
                  <c:v>5.3853799999999996</c:v>
                </c:pt>
                <c:pt idx="37">
                  <c:v>5.5011539999999997</c:v>
                </c:pt>
                <c:pt idx="38">
                  <c:v>5.5450900000000001</c:v>
                </c:pt>
                <c:pt idx="39">
                  <c:v>5.5623500000000003</c:v>
                </c:pt>
                <c:pt idx="40">
                  <c:v>5.5889300000000004</c:v>
                </c:pt>
                <c:pt idx="41">
                  <c:v>5.6332380000000004</c:v>
                </c:pt>
                <c:pt idx="42">
                  <c:v>5.7891159999999999</c:v>
                </c:pt>
                <c:pt idx="43">
                  <c:v>5.9763320000000002</c:v>
                </c:pt>
                <c:pt idx="44">
                  <c:v>6.104546</c:v>
                </c:pt>
                <c:pt idx="45">
                  <c:v>6.1250910000000003</c:v>
                </c:pt>
                <c:pt idx="46">
                  <c:v>6.102131</c:v>
                </c:pt>
                <c:pt idx="47">
                  <c:v>6.1220889999999999</c:v>
                </c:pt>
                <c:pt idx="48">
                  <c:v>6.1904839999999997</c:v>
                </c:pt>
                <c:pt idx="49">
                  <c:v>6.1766629999999996</c:v>
                </c:pt>
                <c:pt idx="50">
                  <c:v>6.2499729999999998</c:v>
                </c:pt>
                <c:pt idx="51">
                  <c:v>6.2831260000000002</c:v>
                </c:pt>
                <c:pt idx="52">
                  <c:v>#N/A</c:v>
                </c:pt>
                <c:pt idx="53">
                  <c:v>6.3410200000000003</c:v>
                </c:pt>
                <c:pt idx="54">
                  <c:v>6.4017410000000003</c:v>
                </c:pt>
                <c:pt idx="55">
                  <c:v>6.4880180000000003</c:v>
                </c:pt>
                <c:pt idx="56">
                  <c:v>6.4234169999999997</c:v>
                </c:pt>
                <c:pt idx="57">
                  <c:v>6.5443009999999999</c:v>
                </c:pt>
                <c:pt idx="58">
                  <c:v>6.5088059999999999</c:v>
                </c:pt>
                <c:pt idx="59">
                  <c:v>6.4499680000000001</c:v>
                </c:pt>
                <c:pt idx="60">
                  <c:v>6.4688739999999996</c:v>
                </c:pt>
                <c:pt idx="61">
                  <c:v>6.5848690000000003</c:v>
                </c:pt>
                <c:pt idx="62">
                  <c:v>6.6627039999999997</c:v>
                </c:pt>
                <c:pt idx="63">
                  <c:v>6.6986090000000003</c:v>
                </c:pt>
                <c:pt idx="64">
                  <c:v>6.852112</c:v>
                </c:pt>
                <c:pt idx="65">
                  <c:v>6.8656610000000002</c:v>
                </c:pt>
                <c:pt idx="66">
                  <c:v>6.8935279999999999</c:v>
                </c:pt>
                <c:pt idx="67">
                  <c:v>6.8825760000000002</c:v>
                </c:pt>
                <c:pt idx="68">
                  <c:v>6.9253390000000001</c:v>
                </c:pt>
                <c:pt idx="69">
                  <c:v>6.936496</c:v>
                </c:pt>
                <c:pt idx="70">
                  <c:v>6.9340539999999997</c:v>
                </c:pt>
                <c:pt idx="71">
                  <c:v>7.097505</c:v>
                </c:pt>
                <c:pt idx="72">
                  <c:v>7.0726820000000004</c:v>
                </c:pt>
                <c:pt idx="73">
                  <c:v>7.0553299999999997</c:v>
                </c:pt>
                <c:pt idx="74">
                  <c:v>7.1496950000000004</c:v>
                </c:pt>
                <c:pt idx="75">
                  <c:v>7.2540639999999996</c:v>
                </c:pt>
                <c:pt idx="76">
                  <c:v>7.196326</c:v>
                </c:pt>
                <c:pt idx="77">
                  <c:v>7.1520659999999996</c:v>
                </c:pt>
                <c:pt idx="78">
                  <c:v>7.2131639999999999</c:v>
                </c:pt>
                <c:pt idx="79">
                  <c:v>7.2470319999999999</c:v>
                </c:pt>
                <c:pt idx="80">
                  <c:v>7.2606739999999999</c:v>
                </c:pt>
                <c:pt idx="81">
                  <c:v>7.2218609999999996</c:v>
                </c:pt>
                <c:pt idx="82">
                  <c:v>7.2241059999999999</c:v>
                </c:pt>
                <c:pt idx="83">
                  <c:v>7.2358169999999999</c:v>
                </c:pt>
                <c:pt idx="84">
                  <c:v>7.2701330000000004</c:v>
                </c:pt>
                <c:pt idx="85">
                  <c:v>7.2674469999999998</c:v>
                </c:pt>
                <c:pt idx="86">
                  <c:v>7.2597969999999998</c:v>
                </c:pt>
                <c:pt idx="87">
                  <c:v>7.3459570000000003</c:v>
                </c:pt>
                <c:pt idx="88">
                  <c:v>7.4241710000000003</c:v>
                </c:pt>
                <c:pt idx="89">
                  <c:v>7.4213110000000002</c:v>
                </c:pt>
                <c:pt idx="90">
                  <c:v>7.5547389999999996</c:v>
                </c:pt>
                <c:pt idx="91">
                  <c:v>7.5374639999999999</c:v>
                </c:pt>
                <c:pt idx="92">
                  <c:v>7.5925219999999998</c:v>
                </c:pt>
                <c:pt idx="93">
                  <c:v>7.745533</c:v>
                </c:pt>
                <c:pt idx="94">
                  <c:v>7.8608859999999998</c:v>
                </c:pt>
                <c:pt idx="95">
                  <c:v>7.8861319999999999</c:v>
                </c:pt>
                <c:pt idx="96">
                  <c:v>7.9279159999999997</c:v>
                </c:pt>
                <c:pt idx="97">
                  <c:v>8.0864759999999993</c:v>
                </c:pt>
              </c:numCache>
            </c:numRef>
          </c:yVal>
        </c:ser>
        <c:ser>
          <c:idx val="6"/>
          <c:order val="6"/>
          <c:tx>
            <c:strRef>
              <c:f>'Fit data'!$K$1</c:f>
              <c:strCache>
                <c:ptCount val="1"/>
                <c:pt idx="0">
                  <c:v>Nigeria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'Fit data'!$J$2:$J$30</c:f>
              <c:numCache>
                <c:formatCode>General</c:formatCode>
                <c:ptCount val="29"/>
                <c:pt idx="0">
                  <c:v>1964</c:v>
                </c:pt>
                <c:pt idx="1">
                  <c:v>1965</c:v>
                </c:pt>
                <c:pt idx="2">
                  <c:v>1966</c:v>
                </c:pt>
                <c:pt idx="3">
                  <c:v>1967</c:v>
                </c:pt>
                <c:pt idx="4">
                  <c:v>1968</c:v>
                </c:pt>
                <c:pt idx="5">
                  <c:v>1969</c:v>
                </c:pt>
                <c:pt idx="6">
                  <c:v>1970</c:v>
                </c:pt>
                <c:pt idx="7">
                  <c:v>1971</c:v>
                </c:pt>
                <c:pt idx="8">
                  <c:v>1972</c:v>
                </c:pt>
                <c:pt idx="9">
                  <c:v>1973</c:v>
                </c:pt>
                <c:pt idx="10">
                  <c:v>1974</c:v>
                </c:pt>
                <c:pt idx="11">
                  <c:v>1975</c:v>
                </c:pt>
                <c:pt idx="12">
                  <c:v>1976</c:v>
                </c:pt>
                <c:pt idx="13">
                  <c:v>1977</c:v>
                </c:pt>
                <c:pt idx="14">
                  <c:v>1978</c:v>
                </c:pt>
                <c:pt idx="15">
                  <c:v>1979</c:v>
                </c:pt>
                <c:pt idx="16">
                  <c:v>1980</c:v>
                </c:pt>
                <c:pt idx="17">
                  <c:v>1981</c:v>
                </c:pt>
                <c:pt idx="18">
                  <c:v>1982</c:v>
                </c:pt>
                <c:pt idx="19">
                  <c:v>1983</c:v>
                </c:pt>
                <c:pt idx="20">
                  <c:v>1984</c:v>
                </c:pt>
                <c:pt idx="21">
                  <c:v>1985</c:v>
                </c:pt>
                <c:pt idx="22">
                  <c:v>1986</c:v>
                </c:pt>
                <c:pt idx="23">
                  <c:v>1987</c:v>
                </c:pt>
                <c:pt idx="24">
                  <c:v>1988</c:v>
                </c:pt>
                <c:pt idx="25">
                  <c:v>1989</c:v>
                </c:pt>
                <c:pt idx="26">
                  <c:v>1990</c:v>
                </c:pt>
                <c:pt idx="27">
                  <c:v>1991</c:v>
                </c:pt>
                <c:pt idx="28">
                  <c:v>1992</c:v>
                </c:pt>
              </c:numCache>
            </c:numRef>
          </c:xVal>
          <c:yVal>
            <c:numRef>
              <c:f>'Fit data'!$K$2:$K$30</c:f>
              <c:numCache>
                <c:formatCode>General</c:formatCode>
                <c:ptCount val="29"/>
                <c:pt idx="0">
                  <c:v>4.1271339999999999</c:v>
                </c:pt>
                <c:pt idx="1">
                  <c:v>4.2195080000000003</c:v>
                </c:pt>
                <c:pt idx="2">
                  <c:v>4.2195080000000003</c:v>
                </c:pt>
                <c:pt idx="3">
                  <c:v>4.143135</c:v>
                </c:pt>
                <c:pt idx="4">
                  <c:v>4.2626799999999996</c:v>
                </c:pt>
                <c:pt idx="5">
                  <c:v>4.5849679999999999</c:v>
                </c:pt>
                <c:pt idx="6">
                  <c:v>4.5951199999999996</c:v>
                </c:pt>
                <c:pt idx="7">
                  <c:v>4.5643479999999998</c:v>
                </c:pt>
                <c:pt idx="8">
                  <c:v>4.5951199999999996</c:v>
                </c:pt>
                <c:pt idx="9">
                  <c:v>4.7004799999999998</c:v>
                </c:pt>
                <c:pt idx="10">
                  <c:v>4.7957910000000004</c:v>
                </c:pt>
                <c:pt idx="11">
                  <c:v>4.9558270000000002</c:v>
                </c:pt>
                <c:pt idx="12">
                  <c:v>5.2040069999999998</c:v>
                </c:pt>
                <c:pt idx="13">
                  <c:v>5.8171109999999997</c:v>
                </c:pt>
                <c:pt idx="14">
                  <c:v>5.7807440000000003</c:v>
                </c:pt>
                <c:pt idx="15">
                  <c:v>5.948035</c:v>
                </c:pt>
                <c:pt idx="16">
                  <c:v>6.2106000000000003</c:v>
                </c:pt>
                <c:pt idx="17">
                  <c:v>6.1654179999999998</c:v>
                </c:pt>
                <c:pt idx="18">
                  <c:v>6.1377269999999999</c:v>
                </c:pt>
                <c:pt idx="19">
                  <c:v>6.1398840000000003</c:v>
                </c:pt>
                <c:pt idx="20">
                  <c:v>6.09131</c:v>
                </c:pt>
                <c:pt idx="21">
                  <c:v>6.0935699999999997</c:v>
                </c:pt>
                <c:pt idx="22">
                  <c:v>6.3350540000000004</c:v>
                </c:pt>
                <c:pt idx="23">
                  <c:v>6.3868790000000004</c:v>
                </c:pt>
                <c:pt idx="24">
                  <c:v>6.3750249999999999</c:v>
                </c:pt>
                <c:pt idx="25">
                  <c:v>6.2146080000000001</c:v>
                </c:pt>
                <c:pt idx="26">
                  <c:v>6.2065760000000001</c:v>
                </c:pt>
                <c:pt idx="27">
                  <c:v>6.2005090000000003</c:v>
                </c:pt>
                <c:pt idx="28">
                  <c:v>6.2205899999999996</c:v>
                </c:pt>
              </c:numCache>
            </c:numRef>
          </c:yVal>
        </c:ser>
        <c:ser>
          <c:idx val="7"/>
          <c:order val="7"/>
          <c:tx>
            <c:strRef>
              <c:f>'Fit data'!$L$1</c:f>
              <c:strCache>
                <c:ptCount val="1"/>
                <c:pt idx="0">
                  <c:v>Nigeria fitted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'Fit data'!$J$2:$J$30</c:f>
              <c:numCache>
                <c:formatCode>General</c:formatCode>
                <c:ptCount val="29"/>
                <c:pt idx="0">
                  <c:v>1964</c:v>
                </c:pt>
                <c:pt idx="1">
                  <c:v>1965</c:v>
                </c:pt>
                <c:pt idx="2">
                  <c:v>1966</c:v>
                </c:pt>
                <c:pt idx="3">
                  <c:v>1967</c:v>
                </c:pt>
                <c:pt idx="4">
                  <c:v>1968</c:v>
                </c:pt>
                <c:pt idx="5">
                  <c:v>1969</c:v>
                </c:pt>
                <c:pt idx="6">
                  <c:v>1970</c:v>
                </c:pt>
                <c:pt idx="7">
                  <c:v>1971</c:v>
                </c:pt>
                <c:pt idx="8">
                  <c:v>1972</c:v>
                </c:pt>
                <c:pt idx="9">
                  <c:v>1973</c:v>
                </c:pt>
                <c:pt idx="10">
                  <c:v>1974</c:v>
                </c:pt>
                <c:pt idx="11">
                  <c:v>1975</c:v>
                </c:pt>
                <c:pt idx="12">
                  <c:v>1976</c:v>
                </c:pt>
                <c:pt idx="13">
                  <c:v>1977</c:v>
                </c:pt>
                <c:pt idx="14">
                  <c:v>1978</c:v>
                </c:pt>
                <c:pt idx="15">
                  <c:v>1979</c:v>
                </c:pt>
                <c:pt idx="16">
                  <c:v>1980</c:v>
                </c:pt>
                <c:pt idx="17">
                  <c:v>1981</c:v>
                </c:pt>
                <c:pt idx="18">
                  <c:v>1982</c:v>
                </c:pt>
                <c:pt idx="19">
                  <c:v>1983</c:v>
                </c:pt>
                <c:pt idx="20">
                  <c:v>1984</c:v>
                </c:pt>
                <c:pt idx="21">
                  <c:v>1985</c:v>
                </c:pt>
                <c:pt idx="22">
                  <c:v>1986</c:v>
                </c:pt>
                <c:pt idx="23">
                  <c:v>1987</c:v>
                </c:pt>
                <c:pt idx="24">
                  <c:v>1988</c:v>
                </c:pt>
                <c:pt idx="25">
                  <c:v>1989</c:v>
                </c:pt>
                <c:pt idx="26">
                  <c:v>1990</c:v>
                </c:pt>
                <c:pt idx="27">
                  <c:v>1991</c:v>
                </c:pt>
                <c:pt idx="28">
                  <c:v>1992</c:v>
                </c:pt>
              </c:numCache>
            </c:numRef>
          </c:xVal>
          <c:yVal>
            <c:numRef>
              <c:f>'Fit data'!$L$2:$L$30</c:f>
              <c:numCache>
                <c:formatCode>General</c:formatCode>
                <c:ptCount val="29"/>
                <c:pt idx="0">
                  <c:v>3.8889130000000001</c:v>
                </c:pt>
                <c:pt idx="1">
                  <c:v>4.0285500000000001</c:v>
                </c:pt>
                <c:pt idx="2">
                  <c:v>4.2802519999999999</c:v>
                </c:pt>
                <c:pt idx="3">
                  <c:v>4.6983280000000001</c:v>
                </c:pt>
                <c:pt idx="4">
                  <c:v>4.8975299999999997</c:v>
                </c:pt>
                <c:pt idx="5">
                  <c:v>4.7601659999999999</c:v>
                </c:pt>
                <c:pt idx="6">
                  <c:v>4.5765250000000002</c:v>
                </c:pt>
                <c:pt idx="7">
                  <c:v>4.5937970000000004</c:v>
                </c:pt>
                <c:pt idx="8">
                  <c:v>4.7032059999999998</c:v>
                </c:pt>
                <c:pt idx="9">
                  <c:v>4.749428</c:v>
                </c:pt>
                <c:pt idx="10">
                  <c:v>4.7602500000000001</c:v>
                </c:pt>
                <c:pt idx="11">
                  <c:v>4.9564490000000001</c:v>
                </c:pt>
                <c:pt idx="12">
                  <c:v>4.9730160000000003</c:v>
                </c:pt>
                <c:pt idx="13">
                  <c:v>5.0767350000000002</c:v>
                </c:pt>
                <c:pt idx="14">
                  <c:v>5.3072280000000003</c:v>
                </c:pt>
                <c:pt idx="15">
                  <c:v>5.3688149999999997</c:v>
                </c:pt>
                <c:pt idx="16">
                  <c:v>5.4935530000000004</c:v>
                </c:pt>
                <c:pt idx="17">
                  <c:v>5.7497030000000002</c:v>
                </c:pt>
                <c:pt idx="18">
                  <c:v>5.9021400000000002</c:v>
                </c:pt>
                <c:pt idx="19">
                  <c:v>6.0965499999999997</c:v>
                </c:pt>
                <c:pt idx="20">
                  <c:v>6.2649119999999998</c:v>
                </c:pt>
                <c:pt idx="21">
                  <c:v>6.2791870000000003</c:v>
                </c:pt>
                <c:pt idx="22">
                  <c:v>6.369707</c:v>
                </c:pt>
                <c:pt idx="23">
                  <c:v>6.5046010000000001</c:v>
                </c:pt>
                <c:pt idx="24">
                  <c:v>6.5036329999999998</c:v>
                </c:pt>
                <c:pt idx="25">
                  <c:v>6.5436930000000002</c:v>
                </c:pt>
                <c:pt idx="26">
                  <c:v>6.5981990000000001</c:v>
                </c:pt>
                <c:pt idx="27">
                  <c:v>6.641019</c:v>
                </c:pt>
                <c:pt idx="28">
                  <c:v>6.725168</c:v>
                </c:pt>
              </c:numCache>
            </c:numRef>
          </c:yVal>
        </c:ser>
        <c:axId val="124532224"/>
        <c:axId val="124533760"/>
      </c:scatterChart>
      <c:valAx>
        <c:axId val="124532224"/>
        <c:scaling>
          <c:orientation val="minMax"/>
          <c:max val="2000"/>
          <c:min val="182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24533760"/>
        <c:crosses val="autoZero"/>
        <c:crossBetween val="midCat"/>
      </c:valAx>
      <c:valAx>
        <c:axId val="124533760"/>
        <c:scaling>
          <c:orientation val="minMax"/>
          <c:max val="11"/>
          <c:min val="3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245322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361080281169081E-2"/>
          <c:y val="4.0783034257748943E-2"/>
          <c:w val="0.87088420273769884"/>
          <c:h val="0.85154975530179522"/>
        </c:manualLayout>
      </c:layout>
      <c:scatterChart>
        <c:scatterStyle val="lineMarker"/>
        <c:ser>
          <c:idx val="1"/>
          <c:order val="0"/>
          <c:tx>
            <c:strRef>
              <c:f>'Technology FEs table'!$E$1</c:f>
              <c:strCache>
                <c:ptCount val="1"/>
                <c:pt idx="0">
                  <c:v>Mean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99186089530157E-3"/>
                  <c:y val="-1.9575856443719439E-2"/>
                </c:manualLayout>
              </c:layout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Cars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</c:dLbl>
            <c:dLbl>
              <c:idx val="1"/>
              <c:layout>
                <c:manualLayout>
                  <c:x val="-6.1428042915279306E-2"/>
                  <c:y val="2.1208034150706693E-3"/>
                </c:manualLayout>
              </c:layout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PCs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</c:dLbl>
            <c:dLbl>
              <c:idx val="2"/>
              <c:layout>
                <c:manualLayout>
                  <c:x val="-1.6130225675175264E-3"/>
                  <c:y val="-1.9160533155215344E-2"/>
                </c:manualLayout>
              </c:layout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Electricity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</c:dLbl>
            <c:dLbl>
              <c:idx val="3"/>
              <c:layout>
                <c:manualLayout>
                  <c:x val="-8.4350721420643676E-2"/>
                  <c:y val="6.5252854812398913E-3"/>
                </c:manualLayout>
              </c:layout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Trucks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</c:dLbl>
            <c:dLbl>
              <c:idx val="4"/>
              <c:layout>
                <c:manualLayout>
                  <c:x val="-0.13651498335183146"/>
                  <c:y val="-2.3926389299216855E-2"/>
                </c:manualLayout>
              </c:layout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Blast oxygen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</c:dLbl>
            <c:dLbl>
              <c:idx val="5"/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Railways - freight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</c:dLbl>
            <c:dLbl>
              <c:idx val="6"/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Railways - passengers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</c:dLbl>
            <c:dLbl>
              <c:idx val="7"/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Telegrams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</c:dLbl>
            <c:dLbl>
              <c:idx val="8"/>
              <c:layout>
                <c:manualLayout>
                  <c:x val="-0.10524602293747704"/>
                  <c:y val="-2.350507165397148E-2"/>
                </c:manualLayout>
              </c:layout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Telephones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</c:dLbl>
            <c:dLbl>
              <c:idx val="9"/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Aviation - freight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</c:dLbl>
            <c:dLbl>
              <c:idx val="10"/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Aviation - passengers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</c:dLbl>
            <c:dLbl>
              <c:idx val="11"/>
              <c:layout>
                <c:manualLayout>
                  <c:x val="-3.34443211246758E-3"/>
                  <c:y val="-1.8397537175716031E-2"/>
                </c:manualLayout>
              </c:layout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Cellphones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</c:dLbl>
            <c:dLbl>
              <c:idx val="12"/>
              <c:layout>
                <c:manualLayout>
                  <c:x val="-4.1435442101367886E-4"/>
                  <c:y val="-2.3952421934207564E-2"/>
                </c:manualLayout>
              </c:layout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Internet users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</c:dLbl>
            <c:dLbl>
              <c:idx val="13"/>
              <c:layout>
                <c:manualLayout>
                  <c:x val="-0.11023319088443567"/>
                  <c:y val="-4.9467144502532657E-3"/>
                </c:manualLayout>
              </c:layout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MRI units   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</c:dLbl>
            <c:dLbl>
              <c:idx val="14"/>
              <c:tx>
                <c:rich>
                  <a:bodyPr/>
                  <a:lstStyle/>
                  <a:p>
                    <a:pPr>
                      <a:defRPr sz="14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 sz="1400"/>
                      <a:t>Steam- and motorships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</c:dLbl>
            <c:delete val="1"/>
          </c:dLbls>
          <c:xVal>
            <c:numRef>
              <c:f>'Technology FEs table'!$C$2:$C$16</c:f>
              <c:numCache>
                <c:formatCode>General</c:formatCode>
                <c:ptCount val="15"/>
                <c:pt idx="0">
                  <c:v>1885</c:v>
                </c:pt>
                <c:pt idx="1">
                  <c:v>1973</c:v>
                </c:pt>
                <c:pt idx="2">
                  <c:v>1882</c:v>
                </c:pt>
                <c:pt idx="3">
                  <c:v>1885</c:v>
                </c:pt>
                <c:pt idx="4">
                  <c:v>1950</c:v>
                </c:pt>
                <c:pt idx="5">
                  <c:v>1825</c:v>
                </c:pt>
                <c:pt idx="6">
                  <c:v>1825</c:v>
                </c:pt>
                <c:pt idx="7">
                  <c:v>1835</c:v>
                </c:pt>
                <c:pt idx="8">
                  <c:v>1876</c:v>
                </c:pt>
                <c:pt idx="9">
                  <c:v>1903</c:v>
                </c:pt>
                <c:pt idx="10">
                  <c:v>1903</c:v>
                </c:pt>
                <c:pt idx="11">
                  <c:v>1973</c:v>
                </c:pt>
                <c:pt idx="12">
                  <c:v>1983</c:v>
                </c:pt>
                <c:pt idx="13">
                  <c:v>1977</c:v>
                </c:pt>
                <c:pt idx="14">
                  <c:v>1788</c:v>
                </c:pt>
              </c:numCache>
            </c:numRef>
          </c:xVal>
          <c:yVal>
            <c:numRef>
              <c:f>'Technology FEs table'!$E$2:$E$16</c:f>
              <c:numCache>
                <c:formatCode>General</c:formatCode>
                <c:ptCount val="15"/>
                <c:pt idx="0">
                  <c:v>43.682079999999999</c:v>
                </c:pt>
                <c:pt idx="1">
                  <c:v>13.956910000000001</c:v>
                </c:pt>
                <c:pt idx="2">
                  <c:v>56.366050000000001</c:v>
                </c:pt>
                <c:pt idx="3">
                  <c:v>39.12677</c:v>
                </c:pt>
                <c:pt idx="4">
                  <c:v>16.306370000000001</c:v>
                </c:pt>
                <c:pt idx="5">
                  <c:v>79.594269999999995</c:v>
                </c:pt>
                <c:pt idx="6">
                  <c:v>97.318770000000001</c:v>
                </c:pt>
                <c:pt idx="7">
                  <c:v>45.6143</c:v>
                </c:pt>
                <c:pt idx="8">
                  <c:v>51.542430000000003</c:v>
                </c:pt>
                <c:pt idx="9">
                  <c:v>43.489849999999997</c:v>
                </c:pt>
                <c:pt idx="10">
                  <c:v>33.896279999999997</c:v>
                </c:pt>
                <c:pt idx="11">
                  <c:v>14.61374</c:v>
                </c:pt>
                <c:pt idx="12">
                  <c:v>7.7982440000000004</c:v>
                </c:pt>
                <c:pt idx="13">
                  <c:v>5.3016759999999996</c:v>
                </c:pt>
                <c:pt idx="14">
                  <c:v>120.4513</c:v>
                </c:pt>
              </c:numCache>
            </c:numRef>
          </c:yVal>
        </c:ser>
        <c:ser>
          <c:idx val="0"/>
          <c:order val="1"/>
          <c:tx>
            <c:strRef>
              <c:f>'Technology FEs table'!$D$1</c:f>
              <c:strCache>
                <c:ptCount val="1"/>
                <c:pt idx="0">
                  <c:v>Fixed effect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'Technology FEs table'!$C$2:$C$16</c:f>
              <c:numCache>
                <c:formatCode>General</c:formatCode>
                <c:ptCount val="15"/>
                <c:pt idx="0">
                  <c:v>1885</c:v>
                </c:pt>
                <c:pt idx="1">
                  <c:v>1973</c:v>
                </c:pt>
                <c:pt idx="2">
                  <c:v>1882</c:v>
                </c:pt>
                <c:pt idx="3">
                  <c:v>1885</c:v>
                </c:pt>
                <c:pt idx="4">
                  <c:v>1950</c:v>
                </c:pt>
                <c:pt idx="5">
                  <c:v>1825</c:v>
                </c:pt>
                <c:pt idx="6">
                  <c:v>1825</c:v>
                </c:pt>
                <c:pt idx="7">
                  <c:v>1835</c:v>
                </c:pt>
                <c:pt idx="8">
                  <c:v>1876</c:v>
                </c:pt>
                <c:pt idx="9">
                  <c:v>1903</c:v>
                </c:pt>
                <c:pt idx="10">
                  <c:v>1903</c:v>
                </c:pt>
                <c:pt idx="11">
                  <c:v>1973</c:v>
                </c:pt>
                <c:pt idx="12">
                  <c:v>1983</c:v>
                </c:pt>
                <c:pt idx="13">
                  <c:v>1977</c:v>
                </c:pt>
                <c:pt idx="14">
                  <c:v>1788</c:v>
                </c:pt>
              </c:numCache>
            </c:numRef>
          </c:xVal>
          <c:yVal>
            <c:numRef>
              <c:f>'Technology FEs table'!$D$2:$D$16</c:f>
              <c:numCache>
                <c:formatCode>General</c:formatCode>
                <c:ptCount val="15"/>
                <c:pt idx="0">
                  <c:v>38.212278666666649</c:v>
                </c:pt>
                <c:pt idx="1">
                  <c:v>14.822738666666652</c:v>
                </c:pt>
                <c:pt idx="2">
                  <c:v>46.151848666666652</c:v>
                </c:pt>
                <c:pt idx="3">
                  <c:v>36.635048666666648</c:v>
                </c:pt>
                <c:pt idx="4">
                  <c:v>21.650658666666644</c:v>
                </c:pt>
                <c:pt idx="5">
                  <c:v>80.716348666666647</c:v>
                </c:pt>
                <c:pt idx="6">
                  <c:v>93.966148666666641</c:v>
                </c:pt>
                <c:pt idx="7">
                  <c:v>49.511448666666638</c:v>
                </c:pt>
                <c:pt idx="8">
                  <c:v>45.04404866666664</c:v>
                </c:pt>
                <c:pt idx="9">
                  <c:v>44.790348666666645</c:v>
                </c:pt>
                <c:pt idx="10">
                  <c:v>35.367198666666638</c:v>
                </c:pt>
                <c:pt idx="11">
                  <c:v>13.190458666666643</c:v>
                </c:pt>
                <c:pt idx="12">
                  <c:v>9.8622886666666432</c:v>
                </c:pt>
                <c:pt idx="13">
                  <c:v>20.705428666666648</c:v>
                </c:pt>
                <c:pt idx="14">
                  <c:v>118.43274866666664</c:v>
                </c:pt>
              </c:numCache>
            </c:numRef>
          </c:yVal>
        </c:ser>
        <c:axId val="124806272"/>
        <c:axId val="124808192"/>
      </c:scatterChart>
      <c:valAx>
        <c:axId val="12480627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24808192"/>
        <c:crossesAt val="-60"/>
        <c:crossBetween val="midCat"/>
      </c:valAx>
      <c:valAx>
        <c:axId val="124808192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248062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220495745468046"/>
          <c:y val="5.8727569331158302E-2"/>
          <c:w val="0.26230114687384387"/>
          <c:h val="7.9934747145187682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460599334073267E-2"/>
          <c:y val="3.4257748776509021E-2"/>
          <c:w val="0.889012208657047"/>
          <c:h val="0.86296900489396411"/>
        </c:manualLayout>
      </c:layout>
      <c:scatterChart>
        <c:scatterStyle val="lineMarker"/>
        <c:ser>
          <c:idx val="0"/>
          <c:order val="0"/>
          <c:tx>
            <c:strRef>
              <c:f>TFP!$N$2</c:f>
              <c:strCache>
                <c:ptCount val="1"/>
                <c:pt idx="0">
                  <c:v>Technology adoption induced TFP differential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TFP!$G$3:$G$168</c:f>
              <c:numCache>
                <c:formatCode>General</c:formatCode>
                <c:ptCount val="166"/>
                <c:pt idx="0">
                  <c:v>#N/A</c:v>
                </c:pt>
                <c:pt idx="1">
                  <c:v>#N/A</c:v>
                </c:pt>
                <c:pt idx="2">
                  <c:v>-1.0050335853501451E-2</c:v>
                </c:pt>
                <c:pt idx="3">
                  <c:v>#N/A</c:v>
                </c:pt>
                <c:pt idx="4">
                  <c:v>-0.44628710262841947</c:v>
                </c:pt>
                <c:pt idx="5">
                  <c:v>#N/A</c:v>
                </c:pt>
                <c:pt idx="6">
                  <c:v>-0.16251892949777494</c:v>
                </c:pt>
                <c:pt idx="7">
                  <c:v>-0.12783337150988489</c:v>
                </c:pt>
                <c:pt idx="8">
                  <c:v>#N/A</c:v>
                </c:pt>
                <c:pt idx="9">
                  <c:v>-0.59783700075562041</c:v>
                </c:pt>
                <c:pt idx="10">
                  <c:v>#N/A</c:v>
                </c:pt>
                <c:pt idx="11">
                  <c:v>-0.1743533871447778</c:v>
                </c:pt>
                <c:pt idx="12">
                  <c:v>#N/A</c:v>
                </c:pt>
                <c:pt idx="13">
                  <c:v>-1.3862943611198906</c:v>
                </c:pt>
                <c:pt idx="14">
                  <c:v>-1.0498221244986778</c:v>
                </c:pt>
                <c:pt idx="15">
                  <c:v>#N/A</c:v>
                </c:pt>
                <c:pt idx="16">
                  <c:v>-0.59783700075562041</c:v>
                </c:pt>
                <c:pt idx="17">
                  <c:v>-0.26136476413440751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-0.84397007029452897</c:v>
                </c:pt>
                <c:pt idx="23">
                  <c:v>4.8790164169432049E-2</c:v>
                </c:pt>
                <c:pt idx="24">
                  <c:v>-2.120263536200091</c:v>
                </c:pt>
                <c:pt idx="25">
                  <c:v>#N/A</c:v>
                </c:pt>
                <c:pt idx="26">
                  <c:v>-0.75502258427803282</c:v>
                </c:pt>
                <c:pt idx="27">
                  <c:v>#N/A</c:v>
                </c:pt>
                <c:pt idx="28">
                  <c:v>-0.38566248081198462</c:v>
                </c:pt>
                <c:pt idx="29">
                  <c:v>-0.21072103131565253</c:v>
                </c:pt>
                <c:pt idx="30">
                  <c:v>-0.44628710262841947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-0.41551544396166579</c:v>
                </c:pt>
                <c:pt idx="36">
                  <c:v>-0.59783700075562041</c:v>
                </c:pt>
                <c:pt idx="37">
                  <c:v>-0.54472717544167215</c:v>
                </c:pt>
                <c:pt idx="38">
                  <c:v>#N/A</c:v>
                </c:pt>
                <c:pt idx="39">
                  <c:v>-0.73396917508020043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-0.43078291609245423</c:v>
                </c:pt>
                <c:pt idx="45">
                  <c:v>3.9220713153281329E-2</c:v>
                </c:pt>
                <c:pt idx="46">
                  <c:v>#N/A</c:v>
                </c:pt>
                <c:pt idx="47">
                  <c:v>-1.7147984280919266</c:v>
                </c:pt>
                <c:pt idx="48">
                  <c:v>#N/A</c:v>
                </c:pt>
                <c:pt idx="49">
                  <c:v>-0.23572233352106983</c:v>
                </c:pt>
                <c:pt idx="50">
                  <c:v>#N/A</c:v>
                </c:pt>
                <c:pt idx="51">
                  <c:v>-1.6094379124341003</c:v>
                </c:pt>
                <c:pt idx="52">
                  <c:v>-0.43078291609245423</c:v>
                </c:pt>
                <c:pt idx="53">
                  <c:v>-0.4780358009429998</c:v>
                </c:pt>
                <c:pt idx="54">
                  <c:v>#N/A</c:v>
                </c:pt>
                <c:pt idx="55">
                  <c:v>-2.3025850929940455</c:v>
                </c:pt>
                <c:pt idx="56">
                  <c:v>-1.7719568419318752</c:v>
                </c:pt>
                <c:pt idx="57">
                  <c:v>-1.5141277326297755</c:v>
                </c:pt>
                <c:pt idx="58">
                  <c:v>-0.96758402626170559</c:v>
                </c:pt>
                <c:pt idx="59">
                  <c:v>-0.12783337150988489</c:v>
                </c:pt>
                <c:pt idx="60">
                  <c:v>#N/A</c:v>
                </c:pt>
                <c:pt idx="61">
                  <c:v>-9.431067947124129E-2</c:v>
                </c:pt>
                <c:pt idx="62">
                  <c:v>-1.6094379124341003</c:v>
                </c:pt>
                <c:pt idx="63">
                  <c:v>-1.1394342831883648</c:v>
                </c:pt>
                <c:pt idx="64">
                  <c:v>-3.0459207484708574E-2</c:v>
                </c:pt>
                <c:pt idx="65">
                  <c:v>0.23111172096338664</c:v>
                </c:pt>
                <c:pt idx="66">
                  <c:v>-0.2876820724517809</c:v>
                </c:pt>
                <c:pt idx="67">
                  <c:v>-0.1743533871447778</c:v>
                </c:pt>
                <c:pt idx="68">
                  <c:v>3.9220713153281329E-2</c:v>
                </c:pt>
                <c:pt idx="69">
                  <c:v>#N/A</c:v>
                </c:pt>
                <c:pt idx="70">
                  <c:v>-0.46203545959655867</c:v>
                </c:pt>
                <c:pt idx="71">
                  <c:v>0.3293037471426003</c:v>
                </c:pt>
                <c:pt idx="72">
                  <c:v>#N/A</c:v>
                </c:pt>
                <c:pt idx="73">
                  <c:v>-1.8971199848858813</c:v>
                </c:pt>
                <c:pt idx="74">
                  <c:v>#N/A</c:v>
                </c:pt>
                <c:pt idx="75">
                  <c:v>#N/A</c:v>
                </c:pt>
                <c:pt idx="76">
                  <c:v>-0.61618613942381695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-1.7147984280919266</c:v>
                </c:pt>
                <c:pt idx="83">
                  <c:v>-1.7147984280919266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-2.3025850929940455</c:v>
                </c:pt>
                <c:pt idx="90">
                  <c:v>-0.46203545959655867</c:v>
                </c:pt>
                <c:pt idx="91">
                  <c:v>-1.8325814637483102</c:v>
                </c:pt>
                <c:pt idx="92">
                  <c:v>#N/A</c:v>
                </c:pt>
                <c:pt idx="93">
                  <c:v>-0.52763274208237199</c:v>
                </c:pt>
                <c:pt idx="94">
                  <c:v>0.25464221837358075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-1.5141277326297755</c:v>
                </c:pt>
                <c:pt idx="100">
                  <c:v>-1.9661128563728327</c:v>
                </c:pt>
                <c:pt idx="101">
                  <c:v>#N/A</c:v>
                </c:pt>
                <c:pt idx="102">
                  <c:v>-1.3093333199837622</c:v>
                </c:pt>
                <c:pt idx="103">
                  <c:v>-2.0202707317519466E-2</c:v>
                </c:pt>
                <c:pt idx="104">
                  <c:v>-0.38566248081198462</c:v>
                </c:pt>
                <c:pt idx="105">
                  <c:v>-0.75502258427803282</c:v>
                </c:pt>
                <c:pt idx="106">
                  <c:v>-2.3025850929940455</c:v>
                </c:pt>
                <c:pt idx="107">
                  <c:v>#N/A</c:v>
                </c:pt>
                <c:pt idx="108">
                  <c:v>-0.23572233352106983</c:v>
                </c:pt>
                <c:pt idx="109">
                  <c:v>#N/A</c:v>
                </c:pt>
                <c:pt idx="110">
                  <c:v>-0.916290731874155</c:v>
                </c:pt>
                <c:pt idx="111">
                  <c:v>-0.51082562376599072</c:v>
                </c:pt>
                <c:pt idx="112">
                  <c:v>-1.4696759700589417</c:v>
                </c:pt>
                <c:pt idx="113">
                  <c:v>-0.69314718055994529</c:v>
                </c:pt>
                <c:pt idx="114">
                  <c:v>-0.75502258427803282</c:v>
                </c:pt>
                <c:pt idx="115">
                  <c:v>-1.3470736479666092</c:v>
                </c:pt>
                <c:pt idx="116">
                  <c:v>#N/A</c:v>
                </c:pt>
                <c:pt idx="117">
                  <c:v>-0.51082562376599072</c:v>
                </c:pt>
                <c:pt idx="118">
                  <c:v>#N/A</c:v>
                </c:pt>
                <c:pt idx="119">
                  <c:v>#N/A</c:v>
                </c:pt>
                <c:pt idx="120">
                  <c:v>-1.4696759700589417</c:v>
                </c:pt>
                <c:pt idx="121">
                  <c:v>#N/A</c:v>
                </c:pt>
                <c:pt idx="122">
                  <c:v>-1.3093333199837622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2.9558802241544429E-2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-0.56211891815354131</c:v>
                </c:pt>
                <c:pt idx="131">
                  <c:v>-7.2570692834835374E-2</c:v>
                </c:pt>
                <c:pt idx="132">
                  <c:v>-0.79850769621777162</c:v>
                </c:pt>
                <c:pt idx="133">
                  <c:v>#N/A</c:v>
                </c:pt>
                <c:pt idx="134">
                  <c:v>#N/A</c:v>
                </c:pt>
                <c:pt idx="135">
                  <c:v>-0.89159811928378363</c:v>
                </c:pt>
                <c:pt idx="136">
                  <c:v>-0.26136476413440751</c:v>
                </c:pt>
                <c:pt idx="137">
                  <c:v>-0.22314355131420971</c:v>
                </c:pt>
                <c:pt idx="138">
                  <c:v>0.41871033485818504</c:v>
                </c:pt>
                <c:pt idx="139">
                  <c:v>-0.2876820724517809</c:v>
                </c:pt>
                <c:pt idx="140">
                  <c:v>#N/A</c:v>
                </c:pt>
                <c:pt idx="141">
                  <c:v>-2.5257286443082556</c:v>
                </c:pt>
                <c:pt idx="142">
                  <c:v>-1.1086626245216111</c:v>
                </c:pt>
                <c:pt idx="143">
                  <c:v>-2.120263536200091</c:v>
                </c:pt>
                <c:pt idx="144">
                  <c:v>-0.21072103131565253</c:v>
                </c:pt>
                <c:pt idx="145">
                  <c:v>-0.73396917508020043</c:v>
                </c:pt>
                <c:pt idx="146">
                  <c:v>#N/A</c:v>
                </c:pt>
                <c:pt idx="147">
                  <c:v>#N/A</c:v>
                </c:pt>
                <c:pt idx="148">
                  <c:v>-1.7719568419318752</c:v>
                </c:pt>
                <c:pt idx="149">
                  <c:v>#N/A</c:v>
                </c:pt>
                <c:pt idx="150">
                  <c:v>-0.23572233352106983</c:v>
                </c:pt>
                <c:pt idx="151">
                  <c:v>0</c:v>
                </c:pt>
                <c:pt idx="152">
                  <c:v>-0.84397007029452897</c:v>
                </c:pt>
                <c:pt idx="153">
                  <c:v>#N/A</c:v>
                </c:pt>
                <c:pt idx="154">
                  <c:v>6.7658648473814864E-2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-0.89159811928378363</c:v>
                </c:pt>
                <c:pt idx="160">
                  <c:v>-1.9661128563728327</c:v>
                </c:pt>
                <c:pt idx="161">
                  <c:v>-2.120263536200091</c:v>
                </c:pt>
                <c:pt idx="162">
                  <c:v>-1.3470736479666092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xVal>
          <c:yVal>
            <c:numRef>
              <c:f>TFP!$N$3:$N$168</c:f>
              <c:numCache>
                <c:formatCode>General</c:formatCode>
                <c:ptCount val="166"/>
                <c:pt idx="0">
                  <c:v>-0.66562496000000004</c:v>
                </c:pt>
                <c:pt idx="1">
                  <c:v>-0.65542736000000001</c:v>
                </c:pt>
                <c:pt idx="2">
                  <c:v>-0.27024438000000001</c:v>
                </c:pt>
                <c:pt idx="3">
                  <c:v>#N/A</c:v>
                </c:pt>
                <c:pt idx="4">
                  <c:v>-0.2016420000000001</c:v>
                </c:pt>
                <c:pt idx="5">
                  <c:v>-0.35798224000000001</c:v>
                </c:pt>
                <c:pt idx="6">
                  <c:v>-0.16933420000000013</c:v>
                </c:pt>
                <c:pt idx="7">
                  <c:v>-5.7344419999999986E-2</c:v>
                </c:pt>
                <c:pt idx="8">
                  <c:v>#N/A</c:v>
                </c:pt>
                <c:pt idx="9">
                  <c:v>-0.71882356000000014</c:v>
                </c:pt>
                <c:pt idx="10">
                  <c:v>-0.39669392000000009</c:v>
                </c:pt>
                <c:pt idx="11">
                  <c:v>-6.9834240000000103E-2</c:v>
                </c:pt>
                <c:pt idx="12">
                  <c:v>#N/A</c:v>
                </c:pt>
                <c:pt idx="13">
                  <c:v>#N/A</c:v>
                </c:pt>
                <c:pt idx="14">
                  <c:v>-0.45904082000000007</c:v>
                </c:pt>
                <c:pt idx="15">
                  <c:v>-1.2482672720000001</c:v>
                </c:pt>
                <c:pt idx="16">
                  <c:v>-0.85068564000000002</c:v>
                </c:pt>
                <c:pt idx="17">
                  <c:v>-0.23618854</c:v>
                </c:pt>
                <c:pt idx="18">
                  <c:v>-0.27657224000000008</c:v>
                </c:pt>
                <c:pt idx="19">
                  <c:v>-0.46225704000000001</c:v>
                </c:pt>
                <c:pt idx="20">
                  <c:v>-0.64898666000000005</c:v>
                </c:pt>
                <c:pt idx="21">
                  <c:v>-0.74274844000000007</c:v>
                </c:pt>
                <c:pt idx="22">
                  <c:v>-0.74489408000000012</c:v>
                </c:pt>
                <c:pt idx="23">
                  <c:v>-0.10075870000000006</c:v>
                </c:pt>
                <c:pt idx="24">
                  <c:v>-0.70486500000000007</c:v>
                </c:pt>
                <c:pt idx="25">
                  <c:v>-0.69441456000000013</c:v>
                </c:pt>
                <c:pt idx="26">
                  <c:v>-0.19036513999999999</c:v>
                </c:pt>
                <c:pt idx="27">
                  <c:v>-0.50961470000000009</c:v>
                </c:pt>
                <c:pt idx="28">
                  <c:v>-0.32507622000000008</c:v>
                </c:pt>
                <c:pt idx="29">
                  <c:v>-0.68223204000000015</c:v>
                </c:pt>
                <c:pt idx="30">
                  <c:v>-0.26160372000000004</c:v>
                </c:pt>
                <c:pt idx="31">
                  <c:v>-0.36762768000000007</c:v>
                </c:pt>
                <c:pt idx="32">
                  <c:v>-0.36843114000000005</c:v>
                </c:pt>
                <c:pt idx="33">
                  <c:v>-0.30045470000000013</c:v>
                </c:pt>
                <c:pt idx="34">
                  <c:v>-0.45316740000000005</c:v>
                </c:pt>
                <c:pt idx="35">
                  <c:v>-9.7182680000000007E-2</c:v>
                </c:pt>
                <c:pt idx="36">
                  <c:v>-0.55627908000000004</c:v>
                </c:pt>
                <c:pt idx="37">
                  <c:v>-0.51194682000000002</c:v>
                </c:pt>
                <c:pt idx="38">
                  <c:v>-0.49533134000000006</c:v>
                </c:pt>
                <c:pt idx="39">
                  <c:v>-0.37962708000000006</c:v>
                </c:pt>
                <c:pt idx="40">
                  <c:v>#N/A</c:v>
                </c:pt>
                <c:pt idx="41">
                  <c:v>#N/A</c:v>
                </c:pt>
                <c:pt idx="42">
                  <c:v>-0.36928430000000007</c:v>
                </c:pt>
                <c:pt idx="43">
                  <c:v>#N/A</c:v>
                </c:pt>
                <c:pt idx="44">
                  <c:v>-0.15921037999999996</c:v>
                </c:pt>
                <c:pt idx="45">
                  <c:v>-3.381686000000008E-2</c:v>
                </c:pt>
                <c:pt idx="46">
                  <c:v>-0.46937996000000004</c:v>
                </c:pt>
                <c:pt idx="47">
                  <c:v>-0.39459504000000006</c:v>
                </c:pt>
                <c:pt idx="48">
                  <c:v>#N/A</c:v>
                </c:pt>
                <c:pt idx="49">
                  <c:v>3.723160000000007E-3</c:v>
                </c:pt>
                <c:pt idx="50">
                  <c:v>#N/A</c:v>
                </c:pt>
                <c:pt idx="51">
                  <c:v>-0.44485266000000001</c:v>
                </c:pt>
                <c:pt idx="52">
                  <c:v>-0.31360853999999999</c:v>
                </c:pt>
                <c:pt idx="53">
                  <c:v>-0.20874812000000015</c:v>
                </c:pt>
                <c:pt idx="54">
                  <c:v>-0.61273114000000006</c:v>
                </c:pt>
                <c:pt idx="55">
                  <c:v>#N/A</c:v>
                </c:pt>
                <c:pt idx="56">
                  <c:v>#N/A</c:v>
                </c:pt>
                <c:pt idx="57">
                  <c:v>-0.64884274000000008</c:v>
                </c:pt>
                <c:pt idx="58">
                  <c:v>-0.62287134000000011</c:v>
                </c:pt>
                <c:pt idx="59">
                  <c:v>-0.5572781200000001</c:v>
                </c:pt>
                <c:pt idx="60">
                  <c:v>-0.21421176000000011</c:v>
                </c:pt>
                <c:pt idx="61">
                  <c:v>#N/A</c:v>
                </c:pt>
                <c:pt idx="62">
                  <c:v>-0.19467419999999996</c:v>
                </c:pt>
                <c:pt idx="63">
                  <c:v>-0.38812970000000008</c:v>
                </c:pt>
                <c:pt idx="64">
                  <c:v>-0.76492318000000004</c:v>
                </c:pt>
                <c:pt idx="65">
                  <c:v>-0.82831700000000019</c:v>
                </c:pt>
                <c:pt idx="66">
                  <c:v>-0.3809995000000001</c:v>
                </c:pt>
                <c:pt idx="67">
                  <c:v>-0.61108992000000006</c:v>
                </c:pt>
                <c:pt idx="68">
                  <c:v>-0.10392984000000013</c:v>
                </c:pt>
                <c:pt idx="69">
                  <c:v>#N/A</c:v>
                </c:pt>
                <c:pt idx="70">
                  <c:v>-0.17046610000000009</c:v>
                </c:pt>
                <c:pt idx="71">
                  <c:v>-0.53921588000000009</c:v>
                </c:pt>
                <c:pt idx="72">
                  <c:v>#N/A</c:v>
                </c:pt>
                <c:pt idx="73">
                  <c:v>-0.38376884000000006</c:v>
                </c:pt>
                <c:pt idx="74">
                  <c:v>#N/A</c:v>
                </c:pt>
                <c:pt idx="75">
                  <c:v>-0.70337722000000003</c:v>
                </c:pt>
                <c:pt idx="76">
                  <c:v>-0.66637830000000009</c:v>
                </c:pt>
                <c:pt idx="77">
                  <c:v>-0.45885826000000002</c:v>
                </c:pt>
                <c:pt idx="78">
                  <c:v>#N/A</c:v>
                </c:pt>
                <c:pt idx="79">
                  <c:v>-0.57002876000000002</c:v>
                </c:pt>
                <c:pt idx="80">
                  <c:v>-0.42159866000000001</c:v>
                </c:pt>
                <c:pt idx="81">
                  <c:v>-0.7341723200000001</c:v>
                </c:pt>
                <c:pt idx="82">
                  <c:v>-0.90439258</c:v>
                </c:pt>
                <c:pt idx="83">
                  <c:v>-0.80104542000000012</c:v>
                </c:pt>
                <c:pt idx="84">
                  <c:v>-0.83787228000000014</c:v>
                </c:pt>
                <c:pt idx="85">
                  <c:v>-0.42410746000000005</c:v>
                </c:pt>
                <c:pt idx="86">
                  <c:v>#N/A</c:v>
                </c:pt>
                <c:pt idx="87">
                  <c:v>#N/A</c:v>
                </c:pt>
                <c:pt idx="88">
                  <c:v>-0.51238740000000016</c:v>
                </c:pt>
                <c:pt idx="89">
                  <c:v>-0.65778944000000006</c:v>
                </c:pt>
                <c:pt idx="90">
                  <c:v>-0.43393308000000008</c:v>
                </c:pt>
                <c:pt idx="91">
                  <c:v>-0.70336882000000001</c:v>
                </c:pt>
                <c:pt idx="92">
                  <c:v>-0.77640486000000009</c:v>
                </c:pt>
                <c:pt idx="93">
                  <c:v>-0.5453732200000001</c:v>
                </c:pt>
                <c:pt idx="94">
                  <c:v>-0.23870350000000007</c:v>
                </c:pt>
                <c:pt idx="95">
                  <c:v>-0.36088934000000006</c:v>
                </c:pt>
                <c:pt idx="96">
                  <c:v>-0.92282260000000016</c:v>
                </c:pt>
                <c:pt idx="97">
                  <c:v>#N/A</c:v>
                </c:pt>
                <c:pt idx="98">
                  <c:v>-0.46367580000000003</c:v>
                </c:pt>
                <c:pt idx="99">
                  <c:v>-0.83344632000000007</c:v>
                </c:pt>
                <c:pt idx="100">
                  <c:v>#N/A</c:v>
                </c:pt>
                <c:pt idx="101">
                  <c:v>#N/A</c:v>
                </c:pt>
                <c:pt idx="102">
                  <c:v>-0.66331482000000008</c:v>
                </c:pt>
                <c:pt idx="103">
                  <c:v>-7.2124079999999965E-2</c:v>
                </c:pt>
                <c:pt idx="104">
                  <c:v>-0.2712773</c:v>
                </c:pt>
                <c:pt idx="105">
                  <c:v>-0.29381506000000007</c:v>
                </c:pt>
                <c:pt idx="106">
                  <c:v>#N/A</c:v>
                </c:pt>
                <c:pt idx="107">
                  <c:v>-0.64484700000000006</c:v>
                </c:pt>
                <c:pt idx="108">
                  <c:v>-3.2016320000000154E-2</c:v>
                </c:pt>
                <c:pt idx="109">
                  <c:v>-0.55475910000000006</c:v>
                </c:pt>
                <c:pt idx="110">
                  <c:v>#N/A</c:v>
                </c:pt>
                <c:pt idx="111">
                  <c:v>-0.5714688</c:v>
                </c:pt>
                <c:pt idx="112">
                  <c:v>#N/A</c:v>
                </c:pt>
                <c:pt idx="113">
                  <c:v>-0.52299254000000006</c:v>
                </c:pt>
                <c:pt idx="114">
                  <c:v>-0.28879382000000009</c:v>
                </c:pt>
                <c:pt idx="115">
                  <c:v>-0.35338044000000007</c:v>
                </c:pt>
                <c:pt idx="116">
                  <c:v>-0.38516226000000009</c:v>
                </c:pt>
                <c:pt idx="117">
                  <c:v>-0.37514442000000003</c:v>
                </c:pt>
                <c:pt idx="118">
                  <c:v>-0.32086908000000003</c:v>
                </c:pt>
                <c:pt idx="119">
                  <c:v>-0.38451826000000011</c:v>
                </c:pt>
                <c:pt idx="120">
                  <c:v>-0.72166878000000001</c:v>
                </c:pt>
                <c:pt idx="121">
                  <c:v>-0.7153627600000001</c:v>
                </c:pt>
                <c:pt idx="122">
                  <c:v>-0.25149544000000001</c:v>
                </c:pt>
                <c:pt idx="123">
                  <c:v>#N/A</c:v>
                </c:pt>
                <c:pt idx="124">
                  <c:v>-0.18602948000000016</c:v>
                </c:pt>
                <c:pt idx="125">
                  <c:v>-0.6504902600000001</c:v>
                </c:pt>
                <c:pt idx="126">
                  <c:v>-0.67178566000000006</c:v>
                </c:pt>
                <c:pt idx="127">
                  <c:v>-0.58736524000000012</c:v>
                </c:pt>
                <c:pt idx="128">
                  <c:v>-0.54575892000000004</c:v>
                </c:pt>
                <c:pt idx="129">
                  <c:v>-0.72280082000000001</c:v>
                </c:pt>
                <c:pt idx="130">
                  <c:v>-0.34240248000000006</c:v>
                </c:pt>
                <c:pt idx="131">
                  <c:v>-0.18125996000000008</c:v>
                </c:pt>
                <c:pt idx="132">
                  <c:v>-0.48026818000000004</c:v>
                </c:pt>
                <c:pt idx="133">
                  <c:v>-0.64957424000000008</c:v>
                </c:pt>
                <c:pt idx="134">
                  <c:v>#N/A</c:v>
                </c:pt>
                <c:pt idx="135">
                  <c:v>-0.84481712000000009</c:v>
                </c:pt>
                <c:pt idx="136">
                  <c:v>-0.10817450000000015</c:v>
                </c:pt>
                <c:pt idx="137">
                  <c:v>-0.15787758000000007</c:v>
                </c:pt>
                <c:pt idx="138">
                  <c:v>-0.61210506000000009</c:v>
                </c:pt>
                <c:pt idx="139">
                  <c:v>-0.57257438000000005</c:v>
                </c:pt>
                <c:pt idx="140">
                  <c:v>#N/A</c:v>
                </c:pt>
                <c:pt idx="141">
                  <c:v>#N/A</c:v>
                </c:pt>
                <c:pt idx="142">
                  <c:v>-0.52672942</c:v>
                </c:pt>
                <c:pt idx="143">
                  <c:v>-0.60254600000000003</c:v>
                </c:pt>
                <c:pt idx="144">
                  <c:v>-0.48033692000000006</c:v>
                </c:pt>
                <c:pt idx="145">
                  <c:v>-0.43051750000000011</c:v>
                </c:pt>
                <c:pt idx="146">
                  <c:v>#N/A</c:v>
                </c:pt>
                <c:pt idx="147">
                  <c:v>-0.83888112000000004</c:v>
                </c:pt>
                <c:pt idx="148">
                  <c:v>-0.65127299999999999</c:v>
                </c:pt>
                <c:pt idx="149">
                  <c:v>-0.35249914000000004</c:v>
                </c:pt>
                <c:pt idx="150">
                  <c:v>-5.8169020000000106E-2</c:v>
                </c:pt>
                <c:pt idx="151">
                  <c:v>0</c:v>
                </c:pt>
                <c:pt idx="152">
                  <c:v>-0.31542364000000006</c:v>
                </c:pt>
                <c:pt idx="153">
                  <c:v>#N/A</c:v>
                </c:pt>
                <c:pt idx="154">
                  <c:v>-0.35422884000000004</c:v>
                </c:pt>
                <c:pt idx="155">
                  <c:v>-0.49002898000000006</c:v>
                </c:pt>
                <c:pt idx="156">
                  <c:v>#N/A</c:v>
                </c:pt>
                <c:pt idx="157">
                  <c:v>#N/A</c:v>
                </c:pt>
                <c:pt idx="158">
                  <c:v>-0.64077818000000009</c:v>
                </c:pt>
                <c:pt idx="159">
                  <c:v>-0.40338620000000008</c:v>
                </c:pt>
                <c:pt idx="160">
                  <c:v>#N/A</c:v>
                </c:pt>
                <c:pt idx="161">
                  <c:v>-0.53742402</c:v>
                </c:pt>
                <c:pt idx="162">
                  <c:v>-0.37540706000000001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TFP!$G$3:$G$168</c:f>
              <c:numCache>
                <c:formatCode>General</c:formatCode>
                <c:ptCount val="166"/>
                <c:pt idx="0">
                  <c:v>#N/A</c:v>
                </c:pt>
                <c:pt idx="1">
                  <c:v>#N/A</c:v>
                </c:pt>
                <c:pt idx="2">
                  <c:v>-1.0050335853501451E-2</c:v>
                </c:pt>
                <c:pt idx="3">
                  <c:v>#N/A</c:v>
                </c:pt>
                <c:pt idx="4">
                  <c:v>-0.44628710262841947</c:v>
                </c:pt>
                <c:pt idx="5">
                  <c:v>#N/A</c:v>
                </c:pt>
                <c:pt idx="6">
                  <c:v>-0.16251892949777494</c:v>
                </c:pt>
                <c:pt idx="7">
                  <c:v>-0.12783337150988489</c:v>
                </c:pt>
                <c:pt idx="8">
                  <c:v>#N/A</c:v>
                </c:pt>
                <c:pt idx="9">
                  <c:v>-0.59783700075562041</c:v>
                </c:pt>
                <c:pt idx="10">
                  <c:v>#N/A</c:v>
                </c:pt>
                <c:pt idx="11">
                  <c:v>-0.1743533871447778</c:v>
                </c:pt>
                <c:pt idx="12">
                  <c:v>#N/A</c:v>
                </c:pt>
                <c:pt idx="13">
                  <c:v>-1.3862943611198906</c:v>
                </c:pt>
                <c:pt idx="14">
                  <c:v>-1.0498221244986778</c:v>
                </c:pt>
                <c:pt idx="15">
                  <c:v>#N/A</c:v>
                </c:pt>
                <c:pt idx="16">
                  <c:v>-0.59783700075562041</c:v>
                </c:pt>
                <c:pt idx="17">
                  <c:v>-0.26136476413440751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-0.84397007029452897</c:v>
                </c:pt>
                <c:pt idx="23">
                  <c:v>4.8790164169432049E-2</c:v>
                </c:pt>
                <c:pt idx="24">
                  <c:v>-2.120263536200091</c:v>
                </c:pt>
                <c:pt idx="25">
                  <c:v>#N/A</c:v>
                </c:pt>
                <c:pt idx="26">
                  <c:v>-0.75502258427803282</c:v>
                </c:pt>
                <c:pt idx="27">
                  <c:v>#N/A</c:v>
                </c:pt>
                <c:pt idx="28">
                  <c:v>-0.38566248081198462</c:v>
                </c:pt>
                <c:pt idx="29">
                  <c:v>-0.21072103131565253</c:v>
                </c:pt>
                <c:pt idx="30">
                  <c:v>-0.44628710262841947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-0.41551544396166579</c:v>
                </c:pt>
                <c:pt idx="36">
                  <c:v>-0.59783700075562041</c:v>
                </c:pt>
                <c:pt idx="37">
                  <c:v>-0.54472717544167215</c:v>
                </c:pt>
                <c:pt idx="38">
                  <c:v>#N/A</c:v>
                </c:pt>
                <c:pt idx="39">
                  <c:v>-0.73396917508020043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-0.43078291609245423</c:v>
                </c:pt>
                <c:pt idx="45">
                  <c:v>3.9220713153281329E-2</c:v>
                </c:pt>
                <c:pt idx="46">
                  <c:v>#N/A</c:v>
                </c:pt>
                <c:pt idx="47">
                  <c:v>-1.7147984280919266</c:v>
                </c:pt>
                <c:pt idx="48">
                  <c:v>#N/A</c:v>
                </c:pt>
                <c:pt idx="49">
                  <c:v>-0.23572233352106983</c:v>
                </c:pt>
                <c:pt idx="50">
                  <c:v>#N/A</c:v>
                </c:pt>
                <c:pt idx="51">
                  <c:v>-1.6094379124341003</c:v>
                </c:pt>
                <c:pt idx="52">
                  <c:v>-0.43078291609245423</c:v>
                </c:pt>
                <c:pt idx="53">
                  <c:v>-0.4780358009429998</c:v>
                </c:pt>
                <c:pt idx="54">
                  <c:v>#N/A</c:v>
                </c:pt>
                <c:pt idx="55">
                  <c:v>-2.3025850929940455</c:v>
                </c:pt>
                <c:pt idx="56">
                  <c:v>-1.7719568419318752</c:v>
                </c:pt>
                <c:pt idx="57">
                  <c:v>-1.5141277326297755</c:v>
                </c:pt>
                <c:pt idx="58">
                  <c:v>-0.96758402626170559</c:v>
                </c:pt>
                <c:pt idx="59">
                  <c:v>-0.12783337150988489</c:v>
                </c:pt>
                <c:pt idx="60">
                  <c:v>#N/A</c:v>
                </c:pt>
                <c:pt idx="61">
                  <c:v>-9.431067947124129E-2</c:v>
                </c:pt>
                <c:pt idx="62">
                  <c:v>-1.6094379124341003</c:v>
                </c:pt>
                <c:pt idx="63">
                  <c:v>-1.1394342831883648</c:v>
                </c:pt>
                <c:pt idx="64">
                  <c:v>-3.0459207484708574E-2</c:v>
                </c:pt>
                <c:pt idx="65">
                  <c:v>0.23111172096338664</c:v>
                </c:pt>
                <c:pt idx="66">
                  <c:v>-0.2876820724517809</c:v>
                </c:pt>
                <c:pt idx="67">
                  <c:v>-0.1743533871447778</c:v>
                </c:pt>
                <c:pt idx="68">
                  <c:v>3.9220713153281329E-2</c:v>
                </c:pt>
                <c:pt idx="69">
                  <c:v>#N/A</c:v>
                </c:pt>
                <c:pt idx="70">
                  <c:v>-0.46203545959655867</c:v>
                </c:pt>
                <c:pt idx="71">
                  <c:v>0.3293037471426003</c:v>
                </c:pt>
                <c:pt idx="72">
                  <c:v>#N/A</c:v>
                </c:pt>
                <c:pt idx="73">
                  <c:v>-1.8971199848858813</c:v>
                </c:pt>
                <c:pt idx="74">
                  <c:v>#N/A</c:v>
                </c:pt>
                <c:pt idx="75">
                  <c:v>#N/A</c:v>
                </c:pt>
                <c:pt idx="76">
                  <c:v>-0.61618613942381695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-1.7147984280919266</c:v>
                </c:pt>
                <c:pt idx="83">
                  <c:v>-1.7147984280919266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-2.3025850929940455</c:v>
                </c:pt>
                <c:pt idx="90">
                  <c:v>-0.46203545959655867</c:v>
                </c:pt>
                <c:pt idx="91">
                  <c:v>-1.8325814637483102</c:v>
                </c:pt>
                <c:pt idx="92">
                  <c:v>#N/A</c:v>
                </c:pt>
                <c:pt idx="93">
                  <c:v>-0.52763274208237199</c:v>
                </c:pt>
                <c:pt idx="94">
                  <c:v>0.25464221837358075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-1.5141277326297755</c:v>
                </c:pt>
                <c:pt idx="100">
                  <c:v>-1.9661128563728327</c:v>
                </c:pt>
                <c:pt idx="101">
                  <c:v>#N/A</c:v>
                </c:pt>
                <c:pt idx="102">
                  <c:v>-1.3093333199837622</c:v>
                </c:pt>
                <c:pt idx="103">
                  <c:v>-2.0202707317519466E-2</c:v>
                </c:pt>
                <c:pt idx="104">
                  <c:v>-0.38566248081198462</c:v>
                </c:pt>
                <c:pt idx="105">
                  <c:v>-0.75502258427803282</c:v>
                </c:pt>
                <c:pt idx="106">
                  <c:v>-2.3025850929940455</c:v>
                </c:pt>
                <c:pt idx="107">
                  <c:v>#N/A</c:v>
                </c:pt>
                <c:pt idx="108">
                  <c:v>-0.23572233352106983</c:v>
                </c:pt>
                <c:pt idx="109">
                  <c:v>#N/A</c:v>
                </c:pt>
                <c:pt idx="110">
                  <c:v>-0.916290731874155</c:v>
                </c:pt>
                <c:pt idx="111">
                  <c:v>-0.51082562376599072</c:v>
                </c:pt>
                <c:pt idx="112">
                  <c:v>-1.4696759700589417</c:v>
                </c:pt>
                <c:pt idx="113">
                  <c:v>-0.69314718055994529</c:v>
                </c:pt>
                <c:pt idx="114">
                  <c:v>-0.75502258427803282</c:v>
                </c:pt>
                <c:pt idx="115">
                  <c:v>-1.3470736479666092</c:v>
                </c:pt>
                <c:pt idx="116">
                  <c:v>#N/A</c:v>
                </c:pt>
                <c:pt idx="117">
                  <c:v>-0.51082562376599072</c:v>
                </c:pt>
                <c:pt idx="118">
                  <c:v>#N/A</c:v>
                </c:pt>
                <c:pt idx="119">
                  <c:v>#N/A</c:v>
                </c:pt>
                <c:pt idx="120">
                  <c:v>-1.4696759700589417</c:v>
                </c:pt>
                <c:pt idx="121">
                  <c:v>#N/A</c:v>
                </c:pt>
                <c:pt idx="122">
                  <c:v>-1.3093333199837622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2.9558802241544429E-2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-0.56211891815354131</c:v>
                </c:pt>
                <c:pt idx="131">
                  <c:v>-7.2570692834835374E-2</c:v>
                </c:pt>
                <c:pt idx="132">
                  <c:v>-0.79850769621777162</c:v>
                </c:pt>
                <c:pt idx="133">
                  <c:v>#N/A</c:v>
                </c:pt>
                <c:pt idx="134">
                  <c:v>#N/A</c:v>
                </c:pt>
                <c:pt idx="135">
                  <c:v>-0.89159811928378363</c:v>
                </c:pt>
                <c:pt idx="136">
                  <c:v>-0.26136476413440751</c:v>
                </c:pt>
                <c:pt idx="137">
                  <c:v>-0.22314355131420971</c:v>
                </c:pt>
                <c:pt idx="138">
                  <c:v>0.41871033485818504</c:v>
                </c:pt>
                <c:pt idx="139">
                  <c:v>-0.2876820724517809</c:v>
                </c:pt>
                <c:pt idx="140">
                  <c:v>#N/A</c:v>
                </c:pt>
                <c:pt idx="141">
                  <c:v>-2.5257286443082556</c:v>
                </c:pt>
                <c:pt idx="142">
                  <c:v>-1.1086626245216111</c:v>
                </c:pt>
                <c:pt idx="143">
                  <c:v>-2.120263536200091</c:v>
                </c:pt>
                <c:pt idx="144">
                  <c:v>-0.21072103131565253</c:v>
                </c:pt>
                <c:pt idx="145">
                  <c:v>-0.73396917508020043</c:v>
                </c:pt>
                <c:pt idx="146">
                  <c:v>#N/A</c:v>
                </c:pt>
                <c:pt idx="147">
                  <c:v>#N/A</c:v>
                </c:pt>
                <c:pt idx="148">
                  <c:v>-1.7719568419318752</c:v>
                </c:pt>
                <c:pt idx="149">
                  <c:v>#N/A</c:v>
                </c:pt>
                <c:pt idx="150">
                  <c:v>-0.23572233352106983</c:v>
                </c:pt>
                <c:pt idx="151">
                  <c:v>0</c:v>
                </c:pt>
                <c:pt idx="152">
                  <c:v>-0.84397007029452897</c:v>
                </c:pt>
                <c:pt idx="153">
                  <c:v>#N/A</c:v>
                </c:pt>
                <c:pt idx="154">
                  <c:v>6.7658648473814864E-2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-0.89159811928378363</c:v>
                </c:pt>
                <c:pt idx="160">
                  <c:v>-1.9661128563728327</c:v>
                </c:pt>
                <c:pt idx="161">
                  <c:v>-2.120263536200091</c:v>
                </c:pt>
                <c:pt idx="162">
                  <c:v>-1.3470736479666092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xVal>
          <c:yVal>
            <c:numRef>
              <c:f>TFP!$Q$3:$Q$168</c:f>
              <c:numCache>
                <c:formatCode>General</c:formatCode>
                <c:ptCount val="166"/>
                <c:pt idx="0">
                  <c:v>#N/A</c:v>
                </c:pt>
                <c:pt idx="1">
                  <c:v>#N/A</c:v>
                </c:pt>
                <c:pt idx="2">
                  <c:v>-0.31476090050666355</c:v>
                </c:pt>
                <c:pt idx="3">
                  <c:v>#N/A</c:v>
                </c:pt>
                <c:pt idx="4">
                  <c:v>-0.3807069531858624</c:v>
                </c:pt>
                <c:pt idx="5">
                  <c:v>#N/A</c:v>
                </c:pt>
                <c:pt idx="6">
                  <c:v>-0.33780962696482675</c:v>
                </c:pt>
                <c:pt idx="7">
                  <c:v>-0.33256619998092696</c:v>
                </c:pt>
                <c:pt idx="8">
                  <c:v>#N/A</c:v>
                </c:pt>
                <c:pt idx="9">
                  <c:v>-0.4036168001465158</c:v>
                </c:pt>
                <c:pt idx="10">
                  <c:v>#N/A</c:v>
                </c:pt>
                <c:pt idx="11">
                  <c:v>-0.33959864574283743</c:v>
                </c:pt>
                <c:pt idx="12">
                  <c:v>#N/A</c:v>
                </c:pt>
                <c:pt idx="13">
                  <c:v>-0.52280815351704002</c:v>
                </c:pt>
                <c:pt idx="14">
                  <c:v>-0.47194353702597047</c:v>
                </c:pt>
                <c:pt idx="15">
                  <c:v>#N/A</c:v>
                </c:pt>
                <c:pt idx="16">
                  <c:v>-0.4036168001465158</c:v>
                </c:pt>
                <c:pt idx="17">
                  <c:v>-0.35275218365544619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-0.44082481562376374</c:v>
                </c:pt>
                <c:pt idx="23">
                  <c:v>-0.30586596314760123</c:v>
                </c:pt>
                <c:pt idx="24">
                  <c:v>-0.63376251035079312</c:v>
                </c:pt>
                <c:pt idx="25">
                  <c:v>#N/A</c:v>
                </c:pt>
                <c:pt idx="26">
                  <c:v>-0.42737859548534829</c:v>
                </c:pt>
                <c:pt idx="27">
                  <c:v>#N/A</c:v>
                </c:pt>
                <c:pt idx="28">
                  <c:v>-0.37154230956006296</c:v>
                </c:pt>
                <c:pt idx="29">
                  <c:v>-0.34509635423733559</c:v>
                </c:pt>
                <c:pt idx="30">
                  <c:v>-0.3807069531858624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-0.37605519162420775</c:v>
                </c:pt>
                <c:pt idx="36">
                  <c:v>-0.4036168001465158</c:v>
                </c:pt>
                <c:pt idx="37">
                  <c:v>-0.39558817073082098</c:v>
                </c:pt>
                <c:pt idx="38">
                  <c:v>#N/A</c:v>
                </c:pt>
                <c:pt idx="39">
                  <c:v>-0.42419594482914319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-0.37836318030856059</c:v>
                </c:pt>
                <c:pt idx="45">
                  <c:v>-0.3073125801429718</c:v>
                </c:pt>
                <c:pt idx="46">
                  <c:v>#N/A</c:v>
                </c:pt>
                <c:pt idx="47">
                  <c:v>-0.57246821923324887</c:v>
                </c:pt>
                <c:pt idx="48">
                  <c:v>#N/A</c:v>
                </c:pt>
                <c:pt idx="49">
                  <c:v>-0.34887580915232608</c:v>
                </c:pt>
                <c:pt idx="50">
                  <c:v>#N/A</c:v>
                </c:pt>
                <c:pt idx="51">
                  <c:v>-0.55654083611227612</c:v>
                </c:pt>
                <c:pt idx="52">
                  <c:v>-0.37836318030856059</c:v>
                </c:pt>
                <c:pt idx="53">
                  <c:v>-0.3855064141460835</c:v>
                </c:pt>
                <c:pt idx="54">
                  <c:v>#N/A</c:v>
                </c:pt>
                <c:pt idx="55">
                  <c:v>-0.66132411887310116</c:v>
                </c:pt>
                <c:pt idx="56">
                  <c:v>-0.58110887508171283</c:v>
                </c:pt>
                <c:pt idx="57">
                  <c:v>-0.54213276550257694</c:v>
                </c:pt>
                <c:pt idx="58">
                  <c:v>-0.45951157720133995</c:v>
                </c:pt>
                <c:pt idx="59">
                  <c:v>-0.33256619998092696</c:v>
                </c:pt>
                <c:pt idx="60">
                  <c:v>#N/A</c:v>
                </c:pt>
                <c:pt idx="61">
                  <c:v>-0.32749856381749104</c:v>
                </c:pt>
                <c:pt idx="62">
                  <c:v>-0.55654083611227612</c:v>
                </c:pt>
                <c:pt idx="63">
                  <c:v>-0.48549023594668739</c:v>
                </c:pt>
                <c:pt idx="64">
                  <c:v>-0.31784611621111841</c:v>
                </c:pt>
                <c:pt idx="65">
                  <c:v>-0.27830435462529324</c:v>
                </c:pt>
                <c:pt idx="66">
                  <c:v>-0.35673057963867083</c:v>
                </c:pt>
                <c:pt idx="67">
                  <c:v>-0.33959864574283743</c:v>
                </c:pt>
                <c:pt idx="68">
                  <c:v>-0.3073125801429718</c:v>
                </c:pt>
                <c:pt idx="69">
                  <c:v>#N/A</c:v>
                </c:pt>
                <c:pt idx="70">
                  <c:v>-0.38308763738611823</c:v>
                </c:pt>
                <c:pt idx="71">
                  <c:v>-0.2634606343699743</c:v>
                </c:pt>
                <c:pt idx="72">
                  <c:v>#N/A</c:v>
                </c:pt>
                <c:pt idx="73">
                  <c:v>-0.60002982775555691</c:v>
                </c:pt>
                <c:pt idx="74">
                  <c:v>#N/A</c:v>
                </c:pt>
                <c:pt idx="75">
                  <c:v>#N/A</c:v>
                </c:pt>
                <c:pt idx="76">
                  <c:v>-0.40639064535487979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-0.57246821923324887</c:v>
                </c:pt>
                <c:pt idx="83">
                  <c:v>-0.57246821923324887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-0.66132411887310116</c:v>
                </c:pt>
                <c:pt idx="90">
                  <c:v>-0.38308763738611823</c:v>
                </c:pt>
                <c:pt idx="91">
                  <c:v>-0.59027351870751232</c:v>
                </c:pt>
                <c:pt idx="92">
                  <c:v>#N/A</c:v>
                </c:pt>
                <c:pt idx="93">
                  <c:v>-0.39300399972852879</c:v>
                </c:pt>
                <c:pt idx="94">
                  <c:v>-0.27474724174539455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-0.54213276550257694</c:v>
                </c:pt>
                <c:pt idx="100">
                  <c:v>-0.61045950238203162</c:v>
                </c:pt>
                <c:pt idx="101">
                  <c:v>#N/A</c:v>
                </c:pt>
                <c:pt idx="102">
                  <c:v>-0.51117392811570472</c:v>
                </c:pt>
                <c:pt idx="103">
                  <c:v>-0.31629563777407588</c:v>
                </c:pt>
                <c:pt idx="104">
                  <c:v>-0.37154230956006296</c:v>
                </c:pt>
                <c:pt idx="105">
                  <c:v>-0.42737859548534829</c:v>
                </c:pt>
                <c:pt idx="106">
                  <c:v>-0.66132411887310116</c:v>
                </c:pt>
                <c:pt idx="107">
                  <c:v>#N/A</c:v>
                </c:pt>
                <c:pt idx="108">
                  <c:v>-0.34887580915232608</c:v>
                </c:pt>
                <c:pt idx="109">
                  <c:v>#N/A</c:v>
                </c:pt>
                <c:pt idx="110">
                  <c:v>-0.45175755335145118</c:v>
                </c:pt>
                <c:pt idx="111">
                  <c:v>-0.39046326223390704</c:v>
                </c:pt>
                <c:pt idx="112">
                  <c:v>-0.53541297822317979</c:v>
                </c:pt>
                <c:pt idx="113">
                  <c:v>-0.41802487075621503</c:v>
                </c:pt>
                <c:pt idx="114">
                  <c:v>-0.42737859548534829</c:v>
                </c:pt>
                <c:pt idx="115">
                  <c:v>-0.51687914566462179</c:v>
                </c:pt>
                <c:pt idx="116">
                  <c:v>#N/A</c:v>
                </c:pt>
                <c:pt idx="117">
                  <c:v>-0.39046326223390704</c:v>
                </c:pt>
                <c:pt idx="118">
                  <c:v>#N/A</c:v>
                </c:pt>
                <c:pt idx="119">
                  <c:v>#N/A</c:v>
                </c:pt>
                <c:pt idx="120">
                  <c:v>-0.53541297822317979</c:v>
                </c:pt>
                <c:pt idx="121">
                  <c:v>#N/A</c:v>
                </c:pt>
                <c:pt idx="122">
                  <c:v>-0.51117392811570472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-0.30877317433056783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-0.39821728608379575</c:v>
                </c:pt>
                <c:pt idx="131">
                  <c:v>-0.3242121230285393</c:v>
                </c:pt>
                <c:pt idx="132">
                  <c:v>-0.43395225387718778</c:v>
                </c:pt>
                <c:pt idx="133">
                  <c:v>#N/A</c:v>
                </c:pt>
                <c:pt idx="134">
                  <c:v>#N/A</c:v>
                </c:pt>
                <c:pt idx="135">
                  <c:v>-0.44802476314509093</c:v>
                </c:pt>
                <c:pt idx="136">
                  <c:v>-0.35275218365544619</c:v>
                </c:pt>
                <c:pt idx="137">
                  <c:v>-0.34697427059062619</c:v>
                </c:pt>
                <c:pt idx="138">
                  <c:v>-0.24994501167968997</c:v>
                </c:pt>
                <c:pt idx="139">
                  <c:v>-0.35673057963867083</c:v>
                </c:pt>
                <c:pt idx="140">
                  <c:v>#N/A</c:v>
                </c:pt>
                <c:pt idx="141">
                  <c:v>-0.69505680146833737</c:v>
                </c:pt>
                <c:pt idx="142">
                  <c:v>-0.48083847438503274</c:v>
                </c:pt>
                <c:pt idx="143">
                  <c:v>-0.63376251035079312</c:v>
                </c:pt>
                <c:pt idx="144">
                  <c:v>-0.34509635423733559</c:v>
                </c:pt>
                <c:pt idx="145">
                  <c:v>-0.42419594482914319</c:v>
                </c:pt>
                <c:pt idx="146">
                  <c:v>#N/A</c:v>
                </c:pt>
                <c:pt idx="147">
                  <c:v>#N/A</c:v>
                </c:pt>
                <c:pt idx="148">
                  <c:v>-0.58110887508171283</c:v>
                </c:pt>
                <c:pt idx="149">
                  <c:v>#N/A</c:v>
                </c:pt>
                <c:pt idx="150">
                  <c:v>-0.34887580915232608</c:v>
                </c:pt>
                <c:pt idx="151">
                  <c:v>-0.31324158799539004</c:v>
                </c:pt>
                <c:pt idx="152">
                  <c:v>-0.44082481562376374</c:v>
                </c:pt>
                <c:pt idx="153">
                  <c:v>#N/A</c:v>
                </c:pt>
                <c:pt idx="154">
                  <c:v>-0.30301360829197427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-0.44802476314509093</c:v>
                </c:pt>
                <c:pt idx="160">
                  <c:v>-0.61045950238203162</c:v>
                </c:pt>
                <c:pt idx="161">
                  <c:v>-0.63376251035079312</c:v>
                </c:pt>
                <c:pt idx="162">
                  <c:v>-0.51687914566462179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yVal>
        </c:ser>
        <c:axId val="124861824"/>
        <c:axId val="124982400"/>
      </c:scatterChart>
      <c:valAx>
        <c:axId val="12486182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982400"/>
        <c:crossesAt val="-1"/>
        <c:crossBetween val="midCat"/>
      </c:valAx>
      <c:valAx>
        <c:axId val="124982400"/>
        <c:scaling>
          <c:orientation val="minMax"/>
          <c:max val="0"/>
          <c:min val="-1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861824"/>
        <c:crossesAt val="-3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460599334073267E-2"/>
          <c:y val="3.4257748776509021E-2"/>
          <c:w val="0.889012208657047"/>
          <c:h val="0.8646003262642754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TFP!$K$3:$K$168</c:f>
              <c:numCache>
                <c:formatCode>General</c:formatCode>
                <c:ptCount val="166"/>
                <c:pt idx="0">
                  <c:v>#N/A</c:v>
                </c:pt>
                <c:pt idx="1">
                  <c:v>#N/A</c:v>
                </c:pt>
                <c:pt idx="2">
                  <c:v>-0.81729088729258059</c:v>
                </c:pt>
                <c:pt idx="3">
                  <c:v>#N/A</c:v>
                </c:pt>
                <c:pt idx="4">
                  <c:v>-0.83653889523867164</c:v>
                </c:pt>
                <c:pt idx="5">
                  <c:v>#N/A</c:v>
                </c:pt>
                <c:pt idx="6">
                  <c:v>-0.37187634097657174</c:v>
                </c:pt>
                <c:pt idx="7">
                  <c:v>-0.26694050715968132</c:v>
                </c:pt>
                <c:pt idx="8">
                  <c:v>#N/A</c:v>
                </c:pt>
                <c:pt idx="9">
                  <c:v>-1.4866680806370365</c:v>
                </c:pt>
                <c:pt idx="10">
                  <c:v>#N/A</c:v>
                </c:pt>
                <c:pt idx="11">
                  <c:v>-0.23155975094052828</c:v>
                </c:pt>
                <c:pt idx="12">
                  <c:v>#N/A</c:v>
                </c:pt>
                <c:pt idx="13">
                  <c:v>-1.7250585179721805</c:v>
                </c:pt>
                <c:pt idx="14">
                  <c:v>-1.5613411896962077</c:v>
                </c:pt>
                <c:pt idx="15">
                  <c:v>#N/A</c:v>
                </c:pt>
                <c:pt idx="16">
                  <c:v>-0.86226168923959889</c:v>
                </c:pt>
                <c:pt idx="17">
                  <c:v>-0.90827702595034943</c:v>
                </c:pt>
                <c:pt idx="18">
                  <c:v>#N/A</c:v>
                </c:pt>
                <c:pt idx="19">
                  <c:v>-2.4244098231199951</c:v>
                </c:pt>
                <c:pt idx="20">
                  <c:v>-2.1688572646009483</c:v>
                </c:pt>
                <c:pt idx="21">
                  <c:v>#N/A</c:v>
                </c:pt>
                <c:pt idx="22">
                  <c:v>-0.99122760447575864</c:v>
                </c:pt>
                <c:pt idx="23">
                  <c:v>-0.37635190266320429</c:v>
                </c:pt>
                <c:pt idx="24">
                  <c:v>-2.4158163155529282</c:v>
                </c:pt>
                <c:pt idx="25">
                  <c:v>-2.2243369993651116</c:v>
                </c:pt>
                <c:pt idx="26">
                  <c:v>-0.73222423536960513</c:v>
                </c:pt>
                <c:pt idx="27">
                  <c:v>-1.8917509081953616</c:v>
                </c:pt>
                <c:pt idx="28">
                  <c:v>-0.86181670519461839</c:v>
                </c:pt>
                <c:pt idx="29">
                  <c:v>-2.8064489030303976</c:v>
                </c:pt>
                <c:pt idx="30">
                  <c:v>-0.3979496648103833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-0.40330422245612851</c:v>
                </c:pt>
                <c:pt idx="36">
                  <c:v>#N/A</c:v>
                </c:pt>
                <c:pt idx="37">
                  <c:v>-1.5920003959521729</c:v>
                </c:pt>
                <c:pt idx="38">
                  <c:v>-0.71591671840822713</c:v>
                </c:pt>
                <c:pt idx="39">
                  <c:v>-0.89596306179825902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-0.59852098280536126</c:v>
                </c:pt>
                <c:pt idx="45">
                  <c:v>-0.28150387360272333</c:v>
                </c:pt>
                <c:pt idx="46">
                  <c:v>#N/A</c:v>
                </c:pt>
                <c:pt idx="47">
                  <c:v>-2.119136585051387</c:v>
                </c:pt>
                <c:pt idx="48">
                  <c:v>#N/A</c:v>
                </c:pt>
                <c:pt idx="49">
                  <c:v>-0.49855507446891423</c:v>
                </c:pt>
                <c:pt idx="50">
                  <c:v>#N/A</c:v>
                </c:pt>
                <c:pt idx="51">
                  <c:v>-1.9641189535130232</c:v>
                </c:pt>
                <c:pt idx="52">
                  <c:v>-0.85888992739179315</c:v>
                </c:pt>
                <c:pt idx="53">
                  <c:v>-0.54906816921607948</c:v>
                </c:pt>
                <c:pt idx="54">
                  <c:v>-1.1236243126517564</c:v>
                </c:pt>
                <c:pt idx="55">
                  <c:v>-2.2044890497608662</c:v>
                </c:pt>
                <c:pt idx="56">
                  <c:v>#N/A</c:v>
                </c:pt>
                <c:pt idx="57">
                  <c:v>-0.98850721998827851</c:v>
                </c:pt>
                <c:pt idx="58">
                  <c:v>-1.7238249329420761</c:v>
                </c:pt>
                <c:pt idx="59">
                  <c:v>-0.28934477474583886</c:v>
                </c:pt>
                <c:pt idx="60">
                  <c:v>-1.1134700322487845</c:v>
                </c:pt>
                <c:pt idx="61">
                  <c:v>-0.46975007205507424</c:v>
                </c:pt>
                <c:pt idx="62">
                  <c:v>-1.497540783652493</c:v>
                </c:pt>
                <c:pt idx="63">
                  <c:v>-1.4599351896701016</c:v>
                </c:pt>
                <c:pt idx="64">
                  <c:v>-1.0425644357107728</c:v>
                </c:pt>
                <c:pt idx="65">
                  <c:v>-0.74730447862777716</c:v>
                </c:pt>
                <c:pt idx="66">
                  <c:v>-1.289502465406045E-2</c:v>
                </c:pt>
                <c:pt idx="67">
                  <c:v>-0.27906250955294887</c:v>
                </c:pt>
                <c:pt idx="68">
                  <c:v>-0.27352184906081689</c:v>
                </c:pt>
                <c:pt idx="69">
                  <c:v>-1.4627386164641454</c:v>
                </c:pt>
                <c:pt idx="70">
                  <c:v>-0.65776344290894784</c:v>
                </c:pt>
                <c:pt idx="71">
                  <c:v>-1.3274164807167761</c:v>
                </c:pt>
                <c:pt idx="72">
                  <c:v>#N/A</c:v>
                </c:pt>
                <c:pt idx="73">
                  <c:v>-2.3930013778050983</c:v>
                </c:pt>
                <c:pt idx="74">
                  <c:v>#N/A</c:v>
                </c:pt>
                <c:pt idx="75">
                  <c:v>#N/A</c:v>
                </c:pt>
                <c:pt idx="76">
                  <c:v>-0.8903847022177569</c:v>
                </c:pt>
                <c:pt idx="77">
                  <c:v>0.29632243759067656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-2.1010614383516959</c:v>
                </c:pt>
                <c:pt idx="83">
                  <c:v>-3.1913991575629908</c:v>
                </c:pt>
                <c:pt idx="84">
                  <c:v>#N/A</c:v>
                </c:pt>
                <c:pt idx="85">
                  <c:v>#N/A</c:v>
                </c:pt>
                <c:pt idx="86">
                  <c:v>0.51410273279282492</c:v>
                </c:pt>
                <c:pt idx="87">
                  <c:v>#N/A</c:v>
                </c:pt>
                <c:pt idx="88">
                  <c:v>-2.3369846786376893</c:v>
                </c:pt>
                <c:pt idx="89">
                  <c:v>-2.3142733359973064</c:v>
                </c:pt>
                <c:pt idx="90">
                  <c:v>-0.60879453205275524</c:v>
                </c:pt>
                <c:pt idx="91">
                  <c:v>-1.6578786522615436</c:v>
                </c:pt>
                <c:pt idx="92">
                  <c:v>-1.728251670036574</c:v>
                </c:pt>
                <c:pt idx="93">
                  <c:v>2.9326524327226267E-2</c:v>
                </c:pt>
                <c:pt idx="94">
                  <c:v>-1.0293454488711529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-1.2227860235121515</c:v>
                </c:pt>
                <c:pt idx="99">
                  <c:v>-1.3801290142693574</c:v>
                </c:pt>
                <c:pt idx="100">
                  <c:v>#N/A</c:v>
                </c:pt>
                <c:pt idx="101">
                  <c:v>-0.57671282484674968</c:v>
                </c:pt>
                <c:pt idx="102">
                  <c:v>-1.8912746434494832</c:v>
                </c:pt>
                <c:pt idx="103">
                  <c:v>-0.28138181064250922</c:v>
                </c:pt>
                <c:pt idx="104">
                  <c:v>-0.59289005143414464</c:v>
                </c:pt>
                <c:pt idx="105">
                  <c:v>-1.2113059724397672</c:v>
                </c:pt>
                <c:pt idx="106">
                  <c:v>-1.9206668075237054</c:v>
                </c:pt>
                <c:pt idx="107">
                  <c:v>-1.4155764606810095</c:v>
                </c:pt>
                <c:pt idx="108">
                  <c:v>-0.19185746370986223</c:v>
                </c:pt>
                <c:pt idx="109">
                  <c:v>0.84614729361930152</c:v>
                </c:pt>
                <c:pt idx="110">
                  <c:v>-1.2796517734812483</c:v>
                </c:pt>
                <c:pt idx="111">
                  <c:v>-1.1643015126627407</c:v>
                </c:pt>
                <c:pt idx="112">
                  <c:v>-0.60534357670613481</c:v>
                </c:pt>
                <c:pt idx="113">
                  <c:v>-1.0702146789019427</c:v>
                </c:pt>
                <c:pt idx="114">
                  <c:v>-1.7638952173917071</c:v>
                </c:pt>
                <c:pt idx="115">
                  <c:v>-1.7726861978818418</c:v>
                </c:pt>
                <c:pt idx="116">
                  <c:v>-1.4339155980575757</c:v>
                </c:pt>
                <c:pt idx="117">
                  <c:v>-0.33748129392624193</c:v>
                </c:pt>
                <c:pt idx="118">
                  <c:v>-1.5328803205116266</c:v>
                </c:pt>
                <c:pt idx="119">
                  <c:v>#N/A</c:v>
                </c:pt>
                <c:pt idx="120">
                  <c:v>-1.7583106807672122</c:v>
                </c:pt>
                <c:pt idx="121">
                  <c:v>0.68397734939700783</c:v>
                </c:pt>
                <c:pt idx="122">
                  <c:v>-1.3606763018550527</c:v>
                </c:pt>
                <c:pt idx="123">
                  <c:v>#N/A</c:v>
                </c:pt>
                <c:pt idx="124">
                  <c:v>#N/A</c:v>
                </c:pt>
                <c:pt idx="125">
                  <c:v>-2.1316139156976561</c:v>
                </c:pt>
                <c:pt idx="126">
                  <c:v>-0.13161401913731829</c:v>
                </c:pt>
                <c:pt idx="127">
                  <c:v>#N/A</c:v>
                </c:pt>
                <c:pt idx="128">
                  <c:v>#N/A</c:v>
                </c:pt>
                <c:pt idx="129">
                  <c:v>-2.6366552482177532</c:v>
                </c:pt>
                <c:pt idx="130">
                  <c:v>-0.54773899623467059</c:v>
                </c:pt>
                <c:pt idx="131">
                  <c:v>-0.3616677944543536</c:v>
                </c:pt>
                <c:pt idx="132">
                  <c:v>-1.5228588540220791</c:v>
                </c:pt>
                <c:pt idx="133">
                  <c:v>-1.9190397975522639</c:v>
                </c:pt>
                <c:pt idx="134">
                  <c:v>-0.53781815058408888</c:v>
                </c:pt>
                <c:pt idx="135">
                  <c:v>-0.26421743070313042</c:v>
                </c:pt>
                <c:pt idx="136">
                  <c:v>-0.48596835667516558</c:v>
                </c:pt>
                <c:pt idx="137">
                  <c:v>-0.48832452955802808</c:v>
                </c:pt>
                <c:pt idx="138">
                  <c:v>-1.4895173387356433</c:v>
                </c:pt>
                <c:pt idx="139">
                  <c:v>#N/A</c:v>
                </c:pt>
                <c:pt idx="140">
                  <c:v>#N/A</c:v>
                </c:pt>
                <c:pt idx="141">
                  <c:v>-2.0098276477175832</c:v>
                </c:pt>
                <c:pt idx="142">
                  <c:v>-1.6996270792874428</c:v>
                </c:pt>
                <c:pt idx="143">
                  <c:v>-2.4925098596422686</c:v>
                </c:pt>
                <c:pt idx="144">
                  <c:v>-0.67864463407540576</c:v>
                </c:pt>
                <c:pt idx="145">
                  <c:v>-1.0607033683223293</c:v>
                </c:pt>
                <c:pt idx="146">
                  <c:v>#N/A</c:v>
                </c:pt>
                <c:pt idx="147">
                  <c:v>#N/A</c:v>
                </c:pt>
                <c:pt idx="148">
                  <c:v>-1.6334369462048626</c:v>
                </c:pt>
                <c:pt idx="149">
                  <c:v>#N/A</c:v>
                </c:pt>
                <c:pt idx="150">
                  <c:v>-0.29775473529072727</c:v>
                </c:pt>
                <c:pt idx="151">
                  <c:v>0</c:v>
                </c:pt>
                <c:pt idx="152">
                  <c:v>-0.8718120523266002</c:v>
                </c:pt>
                <c:pt idx="153">
                  <c:v>#N/A</c:v>
                </c:pt>
                <c:pt idx="154">
                  <c:v>-1.0932263553002919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-0.99966316487732598</c:v>
                </c:pt>
                <c:pt idx="159">
                  <c:v>#N/A</c:v>
                </c:pt>
                <c:pt idx="160">
                  <c:v>-3.4947080460190083</c:v>
                </c:pt>
                <c:pt idx="161">
                  <c:v>-3.3619206342314216</c:v>
                </c:pt>
                <c:pt idx="162">
                  <c:v>-1.6119343109728472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xVal>
          <c:yVal>
            <c:numRef>
              <c:f>TFP!$N$3:$N$168</c:f>
              <c:numCache>
                <c:formatCode>General</c:formatCode>
                <c:ptCount val="166"/>
                <c:pt idx="0">
                  <c:v>-0.66562496000000004</c:v>
                </c:pt>
                <c:pt idx="1">
                  <c:v>-0.65542736000000001</c:v>
                </c:pt>
                <c:pt idx="2">
                  <c:v>-0.27024438000000001</c:v>
                </c:pt>
                <c:pt idx="3">
                  <c:v>#N/A</c:v>
                </c:pt>
                <c:pt idx="4">
                  <c:v>-0.2016420000000001</c:v>
                </c:pt>
                <c:pt idx="5">
                  <c:v>-0.35798224000000001</c:v>
                </c:pt>
                <c:pt idx="6">
                  <c:v>-0.16933420000000013</c:v>
                </c:pt>
                <c:pt idx="7">
                  <c:v>-5.7344419999999986E-2</c:v>
                </c:pt>
                <c:pt idx="8">
                  <c:v>#N/A</c:v>
                </c:pt>
                <c:pt idx="9">
                  <c:v>-0.71882356000000014</c:v>
                </c:pt>
                <c:pt idx="10">
                  <c:v>-0.39669392000000009</c:v>
                </c:pt>
                <c:pt idx="11">
                  <c:v>-6.9834240000000103E-2</c:v>
                </c:pt>
                <c:pt idx="12">
                  <c:v>#N/A</c:v>
                </c:pt>
                <c:pt idx="13">
                  <c:v>#N/A</c:v>
                </c:pt>
                <c:pt idx="14">
                  <c:v>-0.45904082000000007</c:v>
                </c:pt>
                <c:pt idx="15">
                  <c:v>-1.2482672720000001</c:v>
                </c:pt>
                <c:pt idx="16">
                  <c:v>-0.85068564000000002</c:v>
                </c:pt>
                <c:pt idx="17">
                  <c:v>-0.23618854</c:v>
                </c:pt>
                <c:pt idx="18">
                  <c:v>-0.27657224000000008</c:v>
                </c:pt>
                <c:pt idx="19">
                  <c:v>-0.46225704000000001</c:v>
                </c:pt>
                <c:pt idx="20">
                  <c:v>-0.64898666000000005</c:v>
                </c:pt>
                <c:pt idx="21">
                  <c:v>-0.74274844000000007</c:v>
                </c:pt>
                <c:pt idx="22">
                  <c:v>-0.74489408000000012</c:v>
                </c:pt>
                <c:pt idx="23">
                  <c:v>-0.10075870000000006</c:v>
                </c:pt>
                <c:pt idx="24">
                  <c:v>-0.70486500000000007</c:v>
                </c:pt>
                <c:pt idx="25">
                  <c:v>-0.69441456000000013</c:v>
                </c:pt>
                <c:pt idx="26">
                  <c:v>-0.19036513999999999</c:v>
                </c:pt>
                <c:pt idx="27">
                  <c:v>-0.50961470000000009</c:v>
                </c:pt>
                <c:pt idx="28">
                  <c:v>-0.32507622000000008</c:v>
                </c:pt>
                <c:pt idx="29">
                  <c:v>-0.68223204000000015</c:v>
                </c:pt>
                <c:pt idx="30">
                  <c:v>-0.26160372000000004</c:v>
                </c:pt>
                <c:pt idx="31">
                  <c:v>-0.36762768000000007</c:v>
                </c:pt>
                <c:pt idx="32">
                  <c:v>-0.36843114000000005</c:v>
                </c:pt>
                <c:pt idx="33">
                  <c:v>-0.30045470000000013</c:v>
                </c:pt>
                <c:pt idx="34">
                  <c:v>-0.45316740000000005</c:v>
                </c:pt>
                <c:pt idx="35">
                  <c:v>-9.7182680000000007E-2</c:v>
                </c:pt>
                <c:pt idx="36">
                  <c:v>-0.55627908000000004</c:v>
                </c:pt>
                <c:pt idx="37">
                  <c:v>-0.51194682000000002</c:v>
                </c:pt>
                <c:pt idx="38">
                  <c:v>-0.49533134000000006</c:v>
                </c:pt>
                <c:pt idx="39">
                  <c:v>-0.37962708000000006</c:v>
                </c:pt>
                <c:pt idx="40">
                  <c:v>#N/A</c:v>
                </c:pt>
                <c:pt idx="41">
                  <c:v>#N/A</c:v>
                </c:pt>
                <c:pt idx="42">
                  <c:v>-0.36928430000000007</c:v>
                </c:pt>
                <c:pt idx="43">
                  <c:v>#N/A</c:v>
                </c:pt>
                <c:pt idx="44">
                  <c:v>-0.15921037999999996</c:v>
                </c:pt>
                <c:pt idx="45">
                  <c:v>-3.381686000000008E-2</c:v>
                </c:pt>
                <c:pt idx="46">
                  <c:v>-0.46937996000000004</c:v>
                </c:pt>
                <c:pt idx="47">
                  <c:v>-0.39459504000000006</c:v>
                </c:pt>
                <c:pt idx="48">
                  <c:v>#N/A</c:v>
                </c:pt>
                <c:pt idx="49">
                  <c:v>3.723160000000007E-3</c:v>
                </c:pt>
                <c:pt idx="50">
                  <c:v>#N/A</c:v>
                </c:pt>
                <c:pt idx="51">
                  <c:v>-0.44485266000000001</c:v>
                </c:pt>
                <c:pt idx="52">
                  <c:v>-0.31360853999999999</c:v>
                </c:pt>
                <c:pt idx="53">
                  <c:v>-0.20874812000000015</c:v>
                </c:pt>
                <c:pt idx="54">
                  <c:v>-0.61273114000000006</c:v>
                </c:pt>
                <c:pt idx="55">
                  <c:v>#N/A</c:v>
                </c:pt>
                <c:pt idx="56">
                  <c:v>#N/A</c:v>
                </c:pt>
                <c:pt idx="57">
                  <c:v>-0.64884274000000008</c:v>
                </c:pt>
                <c:pt idx="58">
                  <c:v>-0.62287134000000011</c:v>
                </c:pt>
                <c:pt idx="59">
                  <c:v>-0.5572781200000001</c:v>
                </c:pt>
                <c:pt idx="60">
                  <c:v>-0.21421176000000011</c:v>
                </c:pt>
                <c:pt idx="61">
                  <c:v>#N/A</c:v>
                </c:pt>
                <c:pt idx="62">
                  <c:v>-0.19467419999999996</c:v>
                </c:pt>
                <c:pt idx="63">
                  <c:v>-0.38812970000000008</c:v>
                </c:pt>
                <c:pt idx="64">
                  <c:v>-0.76492318000000004</c:v>
                </c:pt>
                <c:pt idx="65">
                  <c:v>-0.82831700000000019</c:v>
                </c:pt>
                <c:pt idx="66">
                  <c:v>-0.3809995000000001</c:v>
                </c:pt>
                <c:pt idx="67">
                  <c:v>-0.61108992000000006</c:v>
                </c:pt>
                <c:pt idx="68">
                  <c:v>-0.10392984000000013</c:v>
                </c:pt>
                <c:pt idx="69">
                  <c:v>#N/A</c:v>
                </c:pt>
                <c:pt idx="70">
                  <c:v>-0.17046610000000009</c:v>
                </c:pt>
                <c:pt idx="71">
                  <c:v>-0.53921588000000009</c:v>
                </c:pt>
                <c:pt idx="72">
                  <c:v>#N/A</c:v>
                </c:pt>
                <c:pt idx="73">
                  <c:v>-0.38376884000000006</c:v>
                </c:pt>
                <c:pt idx="74">
                  <c:v>#N/A</c:v>
                </c:pt>
                <c:pt idx="75">
                  <c:v>-0.70337722000000003</c:v>
                </c:pt>
                <c:pt idx="76">
                  <c:v>-0.66637830000000009</c:v>
                </c:pt>
                <c:pt idx="77">
                  <c:v>-0.45885826000000002</c:v>
                </c:pt>
                <c:pt idx="78">
                  <c:v>#N/A</c:v>
                </c:pt>
                <c:pt idx="79">
                  <c:v>-0.57002876000000002</c:v>
                </c:pt>
                <c:pt idx="80">
                  <c:v>-0.42159866000000001</c:v>
                </c:pt>
                <c:pt idx="81">
                  <c:v>-0.7341723200000001</c:v>
                </c:pt>
                <c:pt idx="82">
                  <c:v>-0.90439258</c:v>
                </c:pt>
                <c:pt idx="83">
                  <c:v>-0.80104542000000012</c:v>
                </c:pt>
                <c:pt idx="84">
                  <c:v>-0.83787228000000014</c:v>
                </c:pt>
                <c:pt idx="85">
                  <c:v>-0.42410746000000005</c:v>
                </c:pt>
                <c:pt idx="86">
                  <c:v>#N/A</c:v>
                </c:pt>
                <c:pt idx="87">
                  <c:v>#N/A</c:v>
                </c:pt>
                <c:pt idx="88">
                  <c:v>-0.51238740000000016</c:v>
                </c:pt>
                <c:pt idx="89">
                  <c:v>-0.65778944000000006</c:v>
                </c:pt>
                <c:pt idx="90">
                  <c:v>-0.43393308000000008</c:v>
                </c:pt>
                <c:pt idx="91">
                  <c:v>-0.70336882000000001</c:v>
                </c:pt>
                <c:pt idx="92">
                  <c:v>-0.77640486000000009</c:v>
                </c:pt>
                <c:pt idx="93">
                  <c:v>-0.5453732200000001</c:v>
                </c:pt>
                <c:pt idx="94">
                  <c:v>-0.23870350000000007</c:v>
                </c:pt>
                <c:pt idx="95">
                  <c:v>-0.36088934000000006</c:v>
                </c:pt>
                <c:pt idx="96">
                  <c:v>-0.92282260000000016</c:v>
                </c:pt>
                <c:pt idx="97">
                  <c:v>#N/A</c:v>
                </c:pt>
                <c:pt idx="98">
                  <c:v>-0.46367580000000003</c:v>
                </c:pt>
                <c:pt idx="99">
                  <c:v>-0.83344632000000007</c:v>
                </c:pt>
                <c:pt idx="100">
                  <c:v>#N/A</c:v>
                </c:pt>
                <c:pt idx="101">
                  <c:v>#N/A</c:v>
                </c:pt>
                <c:pt idx="102">
                  <c:v>-0.66331482000000008</c:v>
                </c:pt>
                <c:pt idx="103">
                  <c:v>-7.2124079999999965E-2</c:v>
                </c:pt>
                <c:pt idx="104">
                  <c:v>-0.2712773</c:v>
                </c:pt>
                <c:pt idx="105">
                  <c:v>-0.29381506000000007</c:v>
                </c:pt>
                <c:pt idx="106">
                  <c:v>#N/A</c:v>
                </c:pt>
                <c:pt idx="107">
                  <c:v>-0.64484700000000006</c:v>
                </c:pt>
                <c:pt idx="108">
                  <c:v>-3.2016320000000154E-2</c:v>
                </c:pt>
                <c:pt idx="109">
                  <c:v>-0.55475910000000006</c:v>
                </c:pt>
                <c:pt idx="110">
                  <c:v>#N/A</c:v>
                </c:pt>
                <c:pt idx="111">
                  <c:v>-0.5714688</c:v>
                </c:pt>
                <c:pt idx="112">
                  <c:v>#N/A</c:v>
                </c:pt>
                <c:pt idx="113">
                  <c:v>-0.52299254000000006</c:v>
                </c:pt>
                <c:pt idx="114">
                  <c:v>-0.28879382000000009</c:v>
                </c:pt>
                <c:pt idx="115">
                  <c:v>-0.35338044000000007</c:v>
                </c:pt>
                <c:pt idx="116">
                  <c:v>-0.38516226000000009</c:v>
                </c:pt>
                <c:pt idx="117">
                  <c:v>-0.37514442000000003</c:v>
                </c:pt>
                <c:pt idx="118">
                  <c:v>-0.32086908000000003</c:v>
                </c:pt>
                <c:pt idx="119">
                  <c:v>-0.38451826000000011</c:v>
                </c:pt>
                <c:pt idx="120">
                  <c:v>-0.72166878000000001</c:v>
                </c:pt>
                <c:pt idx="121">
                  <c:v>-0.7153627600000001</c:v>
                </c:pt>
                <c:pt idx="122">
                  <c:v>-0.25149544000000001</c:v>
                </c:pt>
                <c:pt idx="123">
                  <c:v>#N/A</c:v>
                </c:pt>
                <c:pt idx="124">
                  <c:v>-0.18602948000000016</c:v>
                </c:pt>
                <c:pt idx="125">
                  <c:v>-0.6504902600000001</c:v>
                </c:pt>
                <c:pt idx="126">
                  <c:v>-0.67178566000000006</c:v>
                </c:pt>
                <c:pt idx="127">
                  <c:v>-0.58736524000000012</c:v>
                </c:pt>
                <c:pt idx="128">
                  <c:v>-0.54575892000000004</c:v>
                </c:pt>
                <c:pt idx="129">
                  <c:v>-0.72280082000000001</c:v>
                </c:pt>
                <c:pt idx="130">
                  <c:v>-0.34240248000000006</c:v>
                </c:pt>
                <c:pt idx="131">
                  <c:v>-0.18125996000000008</c:v>
                </c:pt>
                <c:pt idx="132">
                  <c:v>-0.48026818000000004</c:v>
                </c:pt>
                <c:pt idx="133">
                  <c:v>-0.64957424000000008</c:v>
                </c:pt>
                <c:pt idx="134">
                  <c:v>#N/A</c:v>
                </c:pt>
                <c:pt idx="135">
                  <c:v>-0.84481712000000009</c:v>
                </c:pt>
                <c:pt idx="136">
                  <c:v>-0.10817450000000015</c:v>
                </c:pt>
                <c:pt idx="137">
                  <c:v>-0.15787758000000007</c:v>
                </c:pt>
                <c:pt idx="138">
                  <c:v>-0.61210506000000009</c:v>
                </c:pt>
                <c:pt idx="139">
                  <c:v>-0.57257438000000005</c:v>
                </c:pt>
                <c:pt idx="140">
                  <c:v>#N/A</c:v>
                </c:pt>
                <c:pt idx="141">
                  <c:v>#N/A</c:v>
                </c:pt>
                <c:pt idx="142">
                  <c:v>-0.52672942</c:v>
                </c:pt>
                <c:pt idx="143">
                  <c:v>-0.60254600000000003</c:v>
                </c:pt>
                <c:pt idx="144">
                  <c:v>-0.48033692000000006</c:v>
                </c:pt>
                <c:pt idx="145">
                  <c:v>-0.43051750000000011</c:v>
                </c:pt>
                <c:pt idx="146">
                  <c:v>#N/A</c:v>
                </c:pt>
                <c:pt idx="147">
                  <c:v>-0.83888112000000004</c:v>
                </c:pt>
                <c:pt idx="148">
                  <c:v>-0.65127299999999999</c:v>
                </c:pt>
                <c:pt idx="149">
                  <c:v>-0.35249914000000004</c:v>
                </c:pt>
                <c:pt idx="150">
                  <c:v>-5.8169020000000106E-2</c:v>
                </c:pt>
                <c:pt idx="151">
                  <c:v>0</c:v>
                </c:pt>
                <c:pt idx="152">
                  <c:v>-0.31542364000000006</c:v>
                </c:pt>
                <c:pt idx="153">
                  <c:v>#N/A</c:v>
                </c:pt>
                <c:pt idx="154">
                  <c:v>-0.35422884000000004</c:v>
                </c:pt>
                <c:pt idx="155">
                  <c:v>-0.49002898000000006</c:v>
                </c:pt>
                <c:pt idx="156">
                  <c:v>#N/A</c:v>
                </c:pt>
                <c:pt idx="157">
                  <c:v>#N/A</c:v>
                </c:pt>
                <c:pt idx="158">
                  <c:v>-0.64077818000000009</c:v>
                </c:pt>
                <c:pt idx="159">
                  <c:v>-0.40338620000000008</c:v>
                </c:pt>
                <c:pt idx="160">
                  <c:v>#N/A</c:v>
                </c:pt>
                <c:pt idx="161">
                  <c:v>-0.53742402</c:v>
                </c:pt>
                <c:pt idx="162">
                  <c:v>-0.37540706000000001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yVal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TFP!$K$3:$K$168</c:f>
              <c:numCache>
                <c:formatCode>General</c:formatCode>
                <c:ptCount val="166"/>
                <c:pt idx="0">
                  <c:v>#N/A</c:v>
                </c:pt>
                <c:pt idx="1">
                  <c:v>#N/A</c:v>
                </c:pt>
                <c:pt idx="2">
                  <c:v>-0.81729088729258059</c:v>
                </c:pt>
                <c:pt idx="3">
                  <c:v>#N/A</c:v>
                </c:pt>
                <c:pt idx="4">
                  <c:v>-0.83653889523867164</c:v>
                </c:pt>
                <c:pt idx="5">
                  <c:v>#N/A</c:v>
                </c:pt>
                <c:pt idx="6">
                  <c:v>-0.37187634097657174</c:v>
                </c:pt>
                <c:pt idx="7">
                  <c:v>-0.26694050715968132</c:v>
                </c:pt>
                <c:pt idx="8">
                  <c:v>#N/A</c:v>
                </c:pt>
                <c:pt idx="9">
                  <c:v>-1.4866680806370365</c:v>
                </c:pt>
                <c:pt idx="10">
                  <c:v>#N/A</c:v>
                </c:pt>
                <c:pt idx="11">
                  <c:v>-0.23155975094052828</c:v>
                </c:pt>
                <c:pt idx="12">
                  <c:v>#N/A</c:v>
                </c:pt>
                <c:pt idx="13">
                  <c:v>-1.7250585179721805</c:v>
                </c:pt>
                <c:pt idx="14">
                  <c:v>-1.5613411896962077</c:v>
                </c:pt>
                <c:pt idx="15">
                  <c:v>#N/A</c:v>
                </c:pt>
                <c:pt idx="16">
                  <c:v>-0.86226168923959889</c:v>
                </c:pt>
                <c:pt idx="17">
                  <c:v>-0.90827702595034943</c:v>
                </c:pt>
                <c:pt idx="18">
                  <c:v>#N/A</c:v>
                </c:pt>
                <c:pt idx="19">
                  <c:v>-2.4244098231199951</c:v>
                </c:pt>
                <c:pt idx="20">
                  <c:v>-2.1688572646009483</c:v>
                </c:pt>
                <c:pt idx="21">
                  <c:v>#N/A</c:v>
                </c:pt>
                <c:pt idx="22">
                  <c:v>-0.99122760447575864</c:v>
                </c:pt>
                <c:pt idx="23">
                  <c:v>-0.37635190266320429</c:v>
                </c:pt>
                <c:pt idx="24">
                  <c:v>-2.4158163155529282</c:v>
                </c:pt>
                <c:pt idx="25">
                  <c:v>-2.2243369993651116</c:v>
                </c:pt>
                <c:pt idx="26">
                  <c:v>-0.73222423536960513</c:v>
                </c:pt>
                <c:pt idx="27">
                  <c:v>-1.8917509081953616</c:v>
                </c:pt>
                <c:pt idx="28">
                  <c:v>-0.86181670519461839</c:v>
                </c:pt>
                <c:pt idx="29">
                  <c:v>-2.8064489030303976</c:v>
                </c:pt>
                <c:pt idx="30">
                  <c:v>-0.3979496648103833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-0.40330422245612851</c:v>
                </c:pt>
                <c:pt idx="36">
                  <c:v>#N/A</c:v>
                </c:pt>
                <c:pt idx="37">
                  <c:v>-1.5920003959521729</c:v>
                </c:pt>
                <c:pt idx="38">
                  <c:v>-0.71591671840822713</c:v>
                </c:pt>
                <c:pt idx="39">
                  <c:v>-0.89596306179825902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-0.59852098280536126</c:v>
                </c:pt>
                <c:pt idx="45">
                  <c:v>-0.28150387360272333</c:v>
                </c:pt>
                <c:pt idx="46">
                  <c:v>#N/A</c:v>
                </c:pt>
                <c:pt idx="47">
                  <c:v>-2.119136585051387</c:v>
                </c:pt>
                <c:pt idx="48">
                  <c:v>#N/A</c:v>
                </c:pt>
                <c:pt idx="49">
                  <c:v>-0.49855507446891423</c:v>
                </c:pt>
                <c:pt idx="50">
                  <c:v>#N/A</c:v>
                </c:pt>
                <c:pt idx="51">
                  <c:v>-1.9641189535130232</c:v>
                </c:pt>
                <c:pt idx="52">
                  <c:v>-0.85888992739179315</c:v>
                </c:pt>
                <c:pt idx="53">
                  <c:v>-0.54906816921607948</c:v>
                </c:pt>
                <c:pt idx="54">
                  <c:v>-1.1236243126517564</c:v>
                </c:pt>
                <c:pt idx="55">
                  <c:v>-2.2044890497608662</c:v>
                </c:pt>
                <c:pt idx="56">
                  <c:v>#N/A</c:v>
                </c:pt>
                <c:pt idx="57">
                  <c:v>-0.98850721998827851</c:v>
                </c:pt>
                <c:pt idx="58">
                  <c:v>-1.7238249329420761</c:v>
                </c:pt>
                <c:pt idx="59">
                  <c:v>-0.28934477474583886</c:v>
                </c:pt>
                <c:pt idx="60">
                  <c:v>-1.1134700322487845</c:v>
                </c:pt>
                <c:pt idx="61">
                  <c:v>-0.46975007205507424</c:v>
                </c:pt>
                <c:pt idx="62">
                  <c:v>-1.497540783652493</c:v>
                </c:pt>
                <c:pt idx="63">
                  <c:v>-1.4599351896701016</c:v>
                </c:pt>
                <c:pt idx="64">
                  <c:v>-1.0425644357107728</c:v>
                </c:pt>
                <c:pt idx="65">
                  <c:v>-0.74730447862777716</c:v>
                </c:pt>
                <c:pt idx="66">
                  <c:v>-1.289502465406045E-2</c:v>
                </c:pt>
                <c:pt idx="67">
                  <c:v>-0.27906250955294887</c:v>
                </c:pt>
                <c:pt idx="68">
                  <c:v>-0.27352184906081689</c:v>
                </c:pt>
                <c:pt idx="69">
                  <c:v>-1.4627386164641454</c:v>
                </c:pt>
                <c:pt idx="70">
                  <c:v>-0.65776344290894784</c:v>
                </c:pt>
                <c:pt idx="71">
                  <c:v>-1.3274164807167761</c:v>
                </c:pt>
                <c:pt idx="72">
                  <c:v>#N/A</c:v>
                </c:pt>
                <c:pt idx="73">
                  <c:v>-2.3930013778050983</c:v>
                </c:pt>
                <c:pt idx="74">
                  <c:v>#N/A</c:v>
                </c:pt>
                <c:pt idx="75">
                  <c:v>#N/A</c:v>
                </c:pt>
                <c:pt idx="76">
                  <c:v>-0.8903847022177569</c:v>
                </c:pt>
                <c:pt idx="77">
                  <c:v>0.29632243759067656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-2.1010614383516959</c:v>
                </c:pt>
                <c:pt idx="83">
                  <c:v>-3.1913991575629908</c:v>
                </c:pt>
                <c:pt idx="84">
                  <c:v>#N/A</c:v>
                </c:pt>
                <c:pt idx="85">
                  <c:v>#N/A</c:v>
                </c:pt>
                <c:pt idx="86">
                  <c:v>0.51410273279282492</c:v>
                </c:pt>
                <c:pt idx="87">
                  <c:v>#N/A</c:v>
                </c:pt>
                <c:pt idx="88">
                  <c:v>-2.3369846786376893</c:v>
                </c:pt>
                <c:pt idx="89">
                  <c:v>-2.3142733359973064</c:v>
                </c:pt>
                <c:pt idx="90">
                  <c:v>-0.60879453205275524</c:v>
                </c:pt>
                <c:pt idx="91">
                  <c:v>-1.6578786522615436</c:v>
                </c:pt>
                <c:pt idx="92">
                  <c:v>-1.728251670036574</c:v>
                </c:pt>
                <c:pt idx="93">
                  <c:v>2.9326524327226267E-2</c:v>
                </c:pt>
                <c:pt idx="94">
                  <c:v>-1.0293454488711529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-1.2227860235121515</c:v>
                </c:pt>
                <c:pt idx="99">
                  <c:v>-1.3801290142693574</c:v>
                </c:pt>
                <c:pt idx="100">
                  <c:v>#N/A</c:v>
                </c:pt>
                <c:pt idx="101">
                  <c:v>-0.57671282484674968</c:v>
                </c:pt>
                <c:pt idx="102">
                  <c:v>-1.8912746434494832</c:v>
                </c:pt>
                <c:pt idx="103">
                  <c:v>-0.28138181064250922</c:v>
                </c:pt>
                <c:pt idx="104">
                  <c:v>-0.59289005143414464</c:v>
                </c:pt>
                <c:pt idx="105">
                  <c:v>-1.2113059724397672</c:v>
                </c:pt>
                <c:pt idx="106">
                  <c:v>-1.9206668075237054</c:v>
                </c:pt>
                <c:pt idx="107">
                  <c:v>-1.4155764606810095</c:v>
                </c:pt>
                <c:pt idx="108">
                  <c:v>-0.19185746370986223</c:v>
                </c:pt>
                <c:pt idx="109">
                  <c:v>0.84614729361930152</c:v>
                </c:pt>
                <c:pt idx="110">
                  <c:v>-1.2796517734812483</c:v>
                </c:pt>
                <c:pt idx="111">
                  <c:v>-1.1643015126627407</c:v>
                </c:pt>
                <c:pt idx="112">
                  <c:v>-0.60534357670613481</c:v>
                </c:pt>
                <c:pt idx="113">
                  <c:v>-1.0702146789019427</c:v>
                </c:pt>
                <c:pt idx="114">
                  <c:v>-1.7638952173917071</c:v>
                </c:pt>
                <c:pt idx="115">
                  <c:v>-1.7726861978818418</c:v>
                </c:pt>
                <c:pt idx="116">
                  <c:v>-1.4339155980575757</c:v>
                </c:pt>
                <c:pt idx="117">
                  <c:v>-0.33748129392624193</c:v>
                </c:pt>
                <c:pt idx="118">
                  <c:v>-1.5328803205116266</c:v>
                </c:pt>
                <c:pt idx="119">
                  <c:v>#N/A</c:v>
                </c:pt>
                <c:pt idx="120">
                  <c:v>-1.7583106807672122</c:v>
                </c:pt>
                <c:pt idx="121">
                  <c:v>0.68397734939700783</c:v>
                </c:pt>
                <c:pt idx="122">
                  <c:v>-1.3606763018550527</c:v>
                </c:pt>
                <c:pt idx="123">
                  <c:v>#N/A</c:v>
                </c:pt>
                <c:pt idx="124">
                  <c:v>#N/A</c:v>
                </c:pt>
                <c:pt idx="125">
                  <c:v>-2.1316139156976561</c:v>
                </c:pt>
                <c:pt idx="126">
                  <c:v>-0.13161401913731829</c:v>
                </c:pt>
                <c:pt idx="127">
                  <c:v>#N/A</c:v>
                </c:pt>
                <c:pt idx="128">
                  <c:v>#N/A</c:v>
                </c:pt>
                <c:pt idx="129">
                  <c:v>-2.6366552482177532</c:v>
                </c:pt>
                <c:pt idx="130">
                  <c:v>-0.54773899623467059</c:v>
                </c:pt>
                <c:pt idx="131">
                  <c:v>-0.3616677944543536</c:v>
                </c:pt>
                <c:pt idx="132">
                  <c:v>-1.5228588540220791</c:v>
                </c:pt>
                <c:pt idx="133">
                  <c:v>-1.9190397975522639</c:v>
                </c:pt>
                <c:pt idx="134">
                  <c:v>-0.53781815058408888</c:v>
                </c:pt>
                <c:pt idx="135">
                  <c:v>-0.26421743070313042</c:v>
                </c:pt>
                <c:pt idx="136">
                  <c:v>-0.48596835667516558</c:v>
                </c:pt>
                <c:pt idx="137">
                  <c:v>-0.48832452955802808</c:v>
                </c:pt>
                <c:pt idx="138">
                  <c:v>-1.4895173387356433</c:v>
                </c:pt>
                <c:pt idx="139">
                  <c:v>#N/A</c:v>
                </c:pt>
                <c:pt idx="140">
                  <c:v>#N/A</c:v>
                </c:pt>
                <c:pt idx="141">
                  <c:v>-2.0098276477175832</c:v>
                </c:pt>
                <c:pt idx="142">
                  <c:v>-1.6996270792874428</c:v>
                </c:pt>
                <c:pt idx="143">
                  <c:v>-2.4925098596422686</c:v>
                </c:pt>
                <c:pt idx="144">
                  <c:v>-0.67864463407540576</c:v>
                </c:pt>
                <c:pt idx="145">
                  <c:v>-1.0607033683223293</c:v>
                </c:pt>
                <c:pt idx="146">
                  <c:v>#N/A</c:v>
                </c:pt>
                <c:pt idx="147">
                  <c:v>#N/A</c:v>
                </c:pt>
                <c:pt idx="148">
                  <c:v>-1.6334369462048626</c:v>
                </c:pt>
                <c:pt idx="149">
                  <c:v>#N/A</c:v>
                </c:pt>
                <c:pt idx="150">
                  <c:v>-0.29775473529072727</c:v>
                </c:pt>
                <c:pt idx="151">
                  <c:v>0</c:v>
                </c:pt>
                <c:pt idx="152">
                  <c:v>-0.8718120523266002</c:v>
                </c:pt>
                <c:pt idx="153">
                  <c:v>#N/A</c:v>
                </c:pt>
                <c:pt idx="154">
                  <c:v>-1.0932263553002919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-0.99966316487732598</c:v>
                </c:pt>
                <c:pt idx="159">
                  <c:v>#N/A</c:v>
                </c:pt>
                <c:pt idx="160">
                  <c:v>-3.4947080460190083</c:v>
                </c:pt>
                <c:pt idx="161">
                  <c:v>-3.3619206342314216</c:v>
                </c:pt>
                <c:pt idx="162">
                  <c:v>-1.6119343109728472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xVal>
          <c:yVal>
            <c:numRef>
              <c:f>TFP!$R$3:$R$168</c:f>
              <c:numCache>
                <c:formatCode>General</c:formatCode>
                <c:ptCount val="166"/>
                <c:pt idx="0">
                  <c:v>#N/A</c:v>
                </c:pt>
                <c:pt idx="1">
                  <c:v>#N/A</c:v>
                </c:pt>
                <c:pt idx="2">
                  <c:v>-0.40258740024866635</c:v>
                </c:pt>
                <c:pt idx="3">
                  <c:v>#N/A</c:v>
                </c:pt>
                <c:pt idx="4">
                  <c:v>-0.40503993070088673</c:v>
                </c:pt>
                <c:pt idx="5">
                  <c:v>#N/A</c:v>
                </c:pt>
                <c:pt idx="6">
                  <c:v>-0.34583385246536097</c:v>
                </c:pt>
                <c:pt idx="7">
                  <c:v>-0.33246320503598259</c:v>
                </c:pt>
                <c:pt idx="8">
                  <c:v>#N/A</c:v>
                </c:pt>
                <c:pt idx="9">
                  <c:v>-0.48787767835417067</c:v>
                </c:pt>
                <c:pt idx="10">
                  <c:v>#N/A</c:v>
                </c:pt>
                <c:pt idx="11">
                  <c:v>-0.32795508231008358</c:v>
                </c:pt>
                <c:pt idx="12">
                  <c:v>#N/A</c:v>
                </c:pt>
                <c:pt idx="13">
                  <c:v>-0.518252759698695</c:v>
                </c:pt>
                <c:pt idx="14">
                  <c:v>-0.49739232913998255</c:v>
                </c:pt>
                <c:pt idx="15">
                  <c:v>#N/A</c:v>
                </c:pt>
                <c:pt idx="16">
                  <c:v>-0.40831746133055774</c:v>
                </c:pt>
                <c:pt idx="17">
                  <c:v>-0.41418061427959874</c:v>
                </c:pt>
                <c:pt idx="18">
                  <c:v>#N/A</c:v>
                </c:pt>
                <c:pt idx="19">
                  <c:v>-0.60736226014564298</c:v>
                </c:pt>
                <c:pt idx="20">
                  <c:v>-0.57480042654363284</c:v>
                </c:pt>
                <c:pt idx="21">
                  <c:v>#N/A</c:v>
                </c:pt>
                <c:pt idx="22">
                  <c:v>-0.42474995841290558</c:v>
                </c:pt>
                <c:pt idx="23">
                  <c:v>-0.34640411674195515</c:v>
                </c:pt>
                <c:pt idx="24">
                  <c:v>-0.60626729805612978</c:v>
                </c:pt>
                <c:pt idx="25">
                  <c:v>-0.58186950815308069</c:v>
                </c:pt>
                <c:pt idx="26">
                  <c:v>-0.39174843161908957</c:v>
                </c:pt>
                <c:pt idx="27">
                  <c:v>-0.53949226481115897</c:v>
                </c:pt>
                <c:pt idx="28">
                  <c:v>-0.40826076263612021</c:v>
                </c:pt>
                <c:pt idx="29">
                  <c:v>-0.65604067299972657</c:v>
                </c:pt>
                <c:pt idx="30">
                  <c:v>-0.34915604668265976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-0.34983831030812895</c:v>
                </c:pt>
                <c:pt idx="36">
                  <c:v>#N/A</c:v>
                </c:pt>
                <c:pt idx="37">
                  <c:v>-0.50129884441129036</c:v>
                </c:pt>
                <c:pt idx="38">
                  <c:v>-0.38967057077967726</c:v>
                </c:pt>
                <c:pt idx="39">
                  <c:v>-0.41261160141576703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-0.37471231549771666</c:v>
                </c:pt>
                <c:pt idx="45">
                  <c:v>-0.33431883081234548</c:v>
                </c:pt>
                <c:pt idx="46">
                  <c:v>#N/A</c:v>
                </c:pt>
                <c:pt idx="47">
                  <c:v>-0.56846514857398966</c:v>
                </c:pt>
                <c:pt idx="48">
                  <c:v>#N/A</c:v>
                </c:pt>
                <c:pt idx="49">
                  <c:v>-0.36197492287684579</c:v>
                </c:pt>
                <c:pt idx="50">
                  <c:v>#N/A</c:v>
                </c:pt>
                <c:pt idx="51">
                  <c:v>-0.54871321044908261</c:v>
                </c:pt>
                <c:pt idx="52">
                  <c:v>-0.40788784032081277</c:v>
                </c:pt>
                <c:pt idx="53">
                  <c:v>-0.36841116830288079</c:v>
                </c:pt>
                <c:pt idx="54">
                  <c:v>-0.44161959809119278</c:v>
                </c:pt>
                <c:pt idx="55">
                  <c:v>-0.5793405347156797</c:v>
                </c:pt>
                <c:pt idx="56">
                  <c:v>#N/A</c:v>
                </c:pt>
                <c:pt idx="57">
                  <c:v>-0.42440333418997411</c:v>
                </c:pt>
                <c:pt idx="58">
                  <c:v>-0.51809557954476904</c:v>
                </c:pt>
                <c:pt idx="59">
                  <c:v>-0.33531789777450582</c:v>
                </c:pt>
                <c:pt idx="60">
                  <c:v>-0.44032576643970855</c:v>
                </c:pt>
                <c:pt idx="61">
                  <c:v>-0.35830466537310396</c:v>
                </c:pt>
                <c:pt idx="62">
                  <c:v>-0.48926304952182809</c:v>
                </c:pt>
                <c:pt idx="63">
                  <c:v>-0.48447144383078933</c:v>
                </c:pt>
                <c:pt idx="64">
                  <c:v>-0.43129116217160091</c:v>
                </c:pt>
                <c:pt idx="65">
                  <c:v>-0.39366991647721838</c:v>
                </c:pt>
                <c:pt idx="66">
                  <c:v>-0.30009339908831939</c:v>
                </c:pt>
                <c:pt idx="67">
                  <c:v>-0.33400775863834192</c:v>
                </c:pt>
                <c:pt idx="68">
                  <c:v>-0.33330178227858426</c:v>
                </c:pt>
                <c:pt idx="69">
                  <c:v>-0.48482864908559903</c:v>
                </c:pt>
                <c:pt idx="70">
                  <c:v>-0.38226083365478658</c:v>
                </c:pt>
                <c:pt idx="71">
                  <c:v>-0.46758625913493829</c:v>
                </c:pt>
                <c:pt idx="72">
                  <c:v>#N/A</c:v>
                </c:pt>
                <c:pt idx="73">
                  <c:v>-0.60336027880775989</c:v>
                </c:pt>
                <c:pt idx="74">
                  <c:v>#N/A</c:v>
                </c:pt>
                <c:pt idx="75">
                  <c:v>#N/A</c:v>
                </c:pt>
                <c:pt idx="76">
                  <c:v>-0.41190082153750984</c:v>
                </c:pt>
                <c:pt idx="77">
                  <c:v>-0.26069372486553716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-0.56616206101118838</c:v>
                </c:pt>
                <c:pt idx="83">
                  <c:v>-0.70509002005295707</c:v>
                </c:pt>
                <c:pt idx="84">
                  <c:v>#N/A</c:v>
                </c:pt>
                <c:pt idx="85">
                  <c:v>#N/A</c:v>
                </c:pt>
                <c:pt idx="86">
                  <c:v>-0.23294473352197972</c:v>
                </c:pt>
                <c:pt idx="87">
                  <c:v>#N/A</c:v>
                </c:pt>
                <c:pt idx="88">
                  <c:v>-0.59622277860900097</c:v>
                </c:pt>
                <c:pt idx="89">
                  <c:v>-0.59332895917623929</c:v>
                </c:pt>
                <c:pt idx="90">
                  <c:v>-0.37602134407107279</c:v>
                </c:pt>
                <c:pt idx="91">
                  <c:v>-0.50969287823496823</c:v>
                </c:pt>
                <c:pt idx="92">
                  <c:v>-0.51865962272049071</c:v>
                </c:pt>
                <c:pt idx="93">
                  <c:v>-0.29471364057478722</c:v>
                </c:pt>
                <c:pt idx="94">
                  <c:v>-0.42960683370174224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-0.45425452198879934</c:v>
                </c:pt>
                <c:pt idx="99">
                  <c:v>-0.47430275125783594</c:v>
                </c:pt>
                <c:pt idx="100">
                  <c:v>#N/A</c:v>
                </c:pt>
                <c:pt idx="101">
                  <c:v>-0.37193357747713163</c:v>
                </c:pt>
                <c:pt idx="102">
                  <c:v>-0.53943158041224049</c:v>
                </c:pt>
                <c:pt idx="103">
                  <c:v>-0.33430327787160208</c:v>
                </c:pt>
                <c:pt idx="104">
                  <c:v>-0.37399483706041808</c:v>
                </c:pt>
                <c:pt idx="105">
                  <c:v>-0.45279176413214617</c:v>
                </c:pt>
                <c:pt idx="106">
                  <c:v>-0.54317665250752334</c:v>
                </c:pt>
                <c:pt idx="107">
                  <c:v>-0.47881937147232839</c:v>
                </c:pt>
                <c:pt idx="108">
                  <c:v>-0.32289632149032915</c:v>
                </c:pt>
                <c:pt idx="109">
                  <c:v>-0.19063649054941567</c:v>
                </c:pt>
                <c:pt idx="110">
                  <c:v>-0.46150020600338237</c:v>
                </c:pt>
                <c:pt idx="111">
                  <c:v>-0.44680257972843052</c:v>
                </c:pt>
                <c:pt idx="112">
                  <c:v>-0.37558163243439102</c:v>
                </c:pt>
                <c:pt idx="113">
                  <c:v>-0.43481428329808686</c:v>
                </c:pt>
                <c:pt idx="114">
                  <c:v>-0.52320122960045756</c:v>
                </c:pt>
                <c:pt idx="115">
                  <c:v>-0.5243213531694686</c:v>
                </c:pt>
                <c:pt idx="116">
                  <c:v>-0.48115609603153742</c:v>
                </c:pt>
                <c:pt idx="117">
                  <c:v>-0.34145132620431917</c:v>
                </c:pt>
                <c:pt idx="118">
                  <c:v>-0.49376592018549015</c:v>
                </c:pt>
                <c:pt idx="119">
                  <c:v>#N/A</c:v>
                </c:pt>
                <c:pt idx="120">
                  <c:v>-0.52248966265953178</c:v>
                </c:pt>
                <c:pt idx="121">
                  <c:v>-0.21129975750950758</c:v>
                </c:pt>
                <c:pt idx="122">
                  <c:v>-0.47182413790169098</c:v>
                </c:pt>
                <c:pt idx="123">
                  <c:v>#N/A</c:v>
                </c:pt>
                <c:pt idx="124">
                  <c:v>#N/A</c:v>
                </c:pt>
                <c:pt idx="125">
                  <c:v>-0.57005497716602394</c:v>
                </c:pt>
                <c:pt idx="126">
                  <c:v>-0.31522026052991076</c:v>
                </c:pt>
                <c:pt idx="127">
                  <c:v>#N/A</c:v>
                </c:pt>
                <c:pt idx="128">
                  <c:v>#N/A</c:v>
                </c:pt>
                <c:pt idx="129">
                  <c:v>-0.63440601292539056</c:v>
                </c:pt>
                <c:pt idx="130">
                  <c:v>-0.36824180858408267</c:v>
                </c:pt>
                <c:pt idx="131">
                  <c:v>-0.34453310636795859</c:v>
                </c:pt>
                <c:pt idx="132">
                  <c:v>-0.49248901133287759</c:v>
                </c:pt>
                <c:pt idx="133">
                  <c:v>-0.54296934318428314</c:v>
                </c:pt>
                <c:pt idx="134">
                  <c:v>-0.36697772057362599</c:v>
                </c:pt>
                <c:pt idx="135">
                  <c:v>-0.33211623780944566</c:v>
                </c:pt>
                <c:pt idx="136">
                  <c:v>-0.36037115646272494</c:v>
                </c:pt>
                <c:pt idx="137">
                  <c:v>-0.36067137380272707</c:v>
                </c:pt>
                <c:pt idx="138">
                  <c:v>-0.48824072331303814</c:v>
                </c:pt>
                <c:pt idx="139">
                  <c:v>#N/A</c:v>
                </c:pt>
                <c:pt idx="140">
                  <c:v>#N/A</c:v>
                </c:pt>
                <c:pt idx="141">
                  <c:v>-0.55453729181801603</c:v>
                </c:pt>
                <c:pt idx="142">
                  <c:v>-0.51501235279566482</c:v>
                </c:pt>
                <c:pt idx="143">
                  <c:v>-0.61603938734945374</c:v>
                </c:pt>
                <c:pt idx="144">
                  <c:v>-0.38492146000935812</c:v>
                </c:pt>
                <c:pt idx="145">
                  <c:v>-0.43360237716721034</c:v>
                </c:pt>
                <c:pt idx="146">
                  <c:v>#N/A</c:v>
                </c:pt>
                <c:pt idx="147">
                  <c:v>#N/A</c:v>
                </c:pt>
                <c:pt idx="148">
                  <c:v>-0.50657858045536852</c:v>
                </c:pt>
                <c:pt idx="149">
                  <c:v>#N/A</c:v>
                </c:pt>
                <c:pt idx="150">
                  <c:v>-0.33638947278611631</c:v>
                </c:pt>
                <c:pt idx="151">
                  <c:v>-0.29845034902647455</c:v>
                </c:pt>
                <c:pt idx="152">
                  <c:v>-0.40953434342901862</c:v>
                </c:pt>
                <c:pt idx="153">
                  <c:v>#N/A</c:v>
                </c:pt>
                <c:pt idx="154">
                  <c:v>-0.43774637046688153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-0.42582479529079609</c:v>
                </c:pt>
                <c:pt idx="159">
                  <c:v>#N/A</c:v>
                </c:pt>
                <c:pt idx="160">
                  <c:v>-0.74373683937321577</c:v>
                </c:pt>
                <c:pt idx="161">
                  <c:v>-0.72681741727027993</c:v>
                </c:pt>
                <c:pt idx="162">
                  <c:v>-0.5038387713355259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yVal>
        </c:ser>
        <c:axId val="125035648"/>
        <c:axId val="125037184"/>
      </c:scatterChart>
      <c:valAx>
        <c:axId val="12503564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037184"/>
        <c:crossesAt val="-4"/>
        <c:crossBetween val="midCat"/>
      </c:valAx>
      <c:valAx>
        <c:axId val="125037184"/>
        <c:scaling>
          <c:orientation val="minMax"/>
          <c:max val="0"/>
          <c:min val="-1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035648"/>
        <c:crossesAt val="-4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6.6962634110247957E-2"/>
          <c:y val="4.8939641109298562E-2"/>
          <c:w val="0.91823899371069151"/>
          <c:h val="0.86837779861530362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TFP!$J$3:$J$168</c:f>
              <c:numCache>
                <c:formatCode>General</c:formatCode>
                <c:ptCount val="166"/>
                <c:pt idx="0">
                  <c:v>-4.2749503382868443</c:v>
                </c:pt>
                <c:pt idx="1">
                  <c:v>-2.2028640946138101</c:v>
                </c:pt>
                <c:pt idx="2">
                  <c:v>-1.7872814095100988</c:v>
                </c:pt>
                <c:pt idx="3">
                  <c:v>-2.8564671235681622</c:v>
                </c:pt>
                <c:pt idx="4">
                  <c:v>-1.1093971935490359</c:v>
                </c:pt>
                <c:pt idx="5">
                  <c:v>-2.2924635187890576</c:v>
                </c:pt>
                <c:pt idx="6">
                  <c:v>-0.28531172790736825</c:v>
                </c:pt>
                <c:pt idx="7">
                  <c:v>-0.24119584536981087</c:v>
                </c:pt>
                <c:pt idx="8">
                  <c:v>-2.2586023741352115</c:v>
                </c:pt>
                <c:pt idx="9">
                  <c:v>-2.9212136383516807</c:v>
                </c:pt>
                <c:pt idx="10">
                  <c:v>-1.2339324215640026</c:v>
                </c:pt>
                <c:pt idx="11">
                  <c:v>-0.33176397095402343</c:v>
                </c:pt>
                <c:pt idx="12">
                  <c:v>-1.7428597383847642</c:v>
                </c:pt>
                <c:pt idx="13">
                  <c:v>-3.3127024109685994</c:v>
                </c:pt>
                <c:pt idx="14">
                  <c:v>-2.4622993854918249</c:v>
                </c:pt>
                <c:pt idx="15">
                  <c:v>-2.4260939513008513</c:v>
                </c:pt>
                <c:pt idx="16">
                  <c:v>-1.5551338378306419</c:v>
                </c:pt>
                <c:pt idx="17">
                  <c:v>-1.5638326876019217</c:v>
                </c:pt>
                <c:pt idx="18">
                  <c:v>-1.5549882124118373</c:v>
                </c:pt>
                <c:pt idx="19">
                  <c:v>-3.6061512653694789</c:v>
                </c:pt>
                <c:pt idx="20">
                  <c:v>-3.8953521797819999</c:v>
                </c:pt>
                <c:pt idx="21">
                  <c:v>-4.202738099465023</c:v>
                </c:pt>
                <c:pt idx="22">
                  <c:v>-2.6321070244159532</c:v>
                </c:pt>
                <c:pt idx="23">
                  <c:v>-0.24784883732178642</c:v>
                </c:pt>
                <c:pt idx="24">
                  <c:v>-3.5934863944996209</c:v>
                </c:pt>
                <c:pt idx="25">
                  <c:v>-3.7239500620921646</c:v>
                </c:pt>
                <c:pt idx="26">
                  <c:v>-1.1007661710341115</c:v>
                </c:pt>
                <c:pt idx="27">
                  <c:v>-2.1502738611581993</c:v>
                </c:pt>
                <c:pt idx="28">
                  <c:v>-1.7320723513726808</c:v>
                </c:pt>
                <c:pt idx="29">
                  <c:v>-3.2853395436670842</c:v>
                </c:pt>
                <c:pt idx="30">
                  <c:v>-1.4157846338650053</c:v>
                </c:pt>
                <c:pt idx="31">
                  <c:v>-1.3420685921336517</c:v>
                </c:pt>
                <c:pt idx="32">
                  <c:v>-1.7968004320010156</c:v>
                </c:pt>
                <c:pt idx="33">
                  <c:v>#N/A</c:v>
                </c:pt>
                <c:pt idx="34">
                  <c:v>-0.9257357516795377</c:v>
                </c:pt>
                <c:pt idx="35">
                  <c:v>-0.21100720400689355</c:v>
                </c:pt>
                <c:pt idx="36">
                  <c:v>#N/A</c:v>
                </c:pt>
                <c:pt idx="37">
                  <c:v>-2.0750560143554111</c:v>
                </c:pt>
                <c:pt idx="38">
                  <c:v>-2.0250155727992549</c:v>
                </c:pt>
                <c:pt idx="39">
                  <c:v>-1.9826491617421009</c:v>
                </c:pt>
                <c:pt idx="40">
                  <c:v>-1.6660623895213149</c:v>
                </c:pt>
                <c:pt idx="41">
                  <c:v>-4.1251065914871612</c:v>
                </c:pt>
                <c:pt idx="42">
                  <c:v>-1.1318005378975116</c:v>
                </c:pt>
                <c:pt idx="43">
                  <c:v>-3.8581041465045187</c:v>
                </c:pt>
                <c:pt idx="44">
                  <c:v>-0.41286842619685515</c:v>
                </c:pt>
                <c:pt idx="45">
                  <c:v>-0.31636829327474025</c:v>
                </c:pt>
                <c:pt idx="46">
                  <c:v>-1.1914918286734437</c:v>
                </c:pt>
                <c:pt idx="47">
                  <c:v>-3.5842637101190657</c:v>
                </c:pt>
                <c:pt idx="48">
                  <c:v>-2.1796862632378122</c:v>
                </c:pt>
                <c:pt idx="49">
                  <c:v>-0.31569764337801409</c:v>
                </c:pt>
                <c:pt idx="50">
                  <c:v>#N/A</c:v>
                </c:pt>
                <c:pt idx="51">
                  <c:v>-3.2061383488102004</c:v>
                </c:pt>
                <c:pt idx="52">
                  <c:v>-0.89922571411756813</c:v>
                </c:pt>
                <c:pt idx="53">
                  <c:v>-2.1864950239933254</c:v>
                </c:pt>
                <c:pt idx="54">
                  <c:v>-2.6024527474868249</c:v>
                </c:pt>
                <c:pt idx="55">
                  <c:v>-3.8083064785606204</c:v>
                </c:pt>
                <c:pt idx="56">
                  <c:v>-2.2197632166356112</c:v>
                </c:pt>
                <c:pt idx="57">
                  <c:v>-2.8098196590106372</c:v>
                </c:pt>
                <c:pt idx="58">
                  <c:v>-2.7307019917407303</c:v>
                </c:pt>
                <c:pt idx="59">
                  <c:v>-0.23247884717634193</c:v>
                </c:pt>
                <c:pt idx="60">
                  <c:v>-1.104907473504749</c:v>
                </c:pt>
                <c:pt idx="61">
                  <c:v>-0.28685787180306122</c:v>
                </c:pt>
                <c:pt idx="62">
                  <c:v>-2.5647876045735218</c:v>
                </c:pt>
                <c:pt idx="63">
                  <c:v>-2.2094555457841611</c:v>
                </c:pt>
                <c:pt idx="64">
                  <c:v>-1.7377055850194409</c:v>
                </c:pt>
                <c:pt idx="65">
                  <c:v>-2.6428362721996663</c:v>
                </c:pt>
                <c:pt idx="66">
                  <c:v>-0.32024827710488069</c:v>
                </c:pt>
                <c:pt idx="67">
                  <c:v>-0.43527099362842847</c:v>
                </c:pt>
                <c:pt idx="68">
                  <c:v>-0.42407725938607044</c:v>
                </c:pt>
                <c:pt idx="69">
                  <c:v>-2.7615328136143908</c:v>
                </c:pt>
                <c:pt idx="70">
                  <c:v>-0.36019754463691811</c:v>
                </c:pt>
                <c:pt idx="71">
                  <c:v>-2.1755766196022499</c:v>
                </c:pt>
                <c:pt idx="72">
                  <c:v>-1.6622178419956395</c:v>
                </c:pt>
                <c:pt idx="73">
                  <c:v>-3.2998071591999434</c:v>
                </c:pt>
                <c:pt idx="74">
                  <c:v>#N/A</c:v>
                </c:pt>
                <c:pt idx="75">
                  <c:v>-3.215699752491556</c:v>
                </c:pt>
                <c:pt idx="76">
                  <c:v>-0.78321878074021001</c:v>
                </c:pt>
                <c:pt idx="77">
                  <c:v>-0.31274807607979938</c:v>
                </c:pt>
                <c:pt idx="78">
                  <c:v>-2.3164070782405268</c:v>
                </c:pt>
                <c:pt idx="79">
                  <c:v>-3.3080197759560397</c:v>
                </c:pt>
                <c:pt idx="80">
                  <c:v>-1.3400094578744621</c:v>
                </c:pt>
                <c:pt idx="81">
                  <c:v>-1.716531676564589</c:v>
                </c:pt>
                <c:pt idx="82">
                  <c:v>-2.9305782809131795</c:v>
                </c:pt>
                <c:pt idx="83">
                  <c:v>-4.2868750510911324</c:v>
                </c:pt>
                <c:pt idx="84">
                  <c:v>-1.2015023873021029</c:v>
                </c:pt>
                <c:pt idx="85">
                  <c:v>-1.3220940129359899</c:v>
                </c:pt>
                <c:pt idx="86">
                  <c:v>0.33869321671572727</c:v>
                </c:pt>
                <c:pt idx="87">
                  <c:v>-1.8748558697277904</c:v>
                </c:pt>
                <c:pt idx="88">
                  <c:v>-3.7319663916610342</c:v>
                </c:pt>
                <c:pt idx="89">
                  <c:v>-3.7125815778529265</c:v>
                </c:pt>
                <c:pt idx="90">
                  <c:v>-1.1029281675683613</c:v>
                </c:pt>
                <c:pt idx="91">
                  <c:v>-3.4913634006265895</c:v>
                </c:pt>
                <c:pt idx="92">
                  <c:v>-3.1173396175815267</c:v>
                </c:pt>
                <c:pt idx="93">
                  <c:v>-0.82093909195978298</c:v>
                </c:pt>
                <c:pt idx="94">
                  <c:v>-1.4473734252728701</c:v>
                </c:pt>
                <c:pt idx="95">
                  <c:v>-2.7406011370476469</c:v>
                </c:pt>
                <c:pt idx="96">
                  <c:v>-3.1310382507530257</c:v>
                </c:pt>
                <c:pt idx="97">
                  <c:v>#N/A</c:v>
                </c:pt>
                <c:pt idx="98">
                  <c:v>-2.2232874261541529</c:v>
                </c:pt>
                <c:pt idx="99">
                  <c:v>-3.4479336637335862</c:v>
                </c:pt>
                <c:pt idx="100">
                  <c:v>#N/A</c:v>
                </c:pt>
                <c:pt idx="101">
                  <c:v>-1.8752684370459853</c:v>
                </c:pt>
                <c:pt idx="102">
                  <c:v>-3.185657030024128</c:v>
                </c:pt>
                <c:pt idx="103">
                  <c:v>-0.26771808636579131</c:v>
                </c:pt>
                <c:pt idx="104">
                  <c:v>-0.52036639380594352</c:v>
                </c:pt>
                <c:pt idx="105">
                  <c:v>-2.3021774541366256</c:v>
                </c:pt>
                <c:pt idx="106">
                  <c:v>-3.750892736302041</c:v>
                </c:pt>
                <c:pt idx="107">
                  <c:v>-3.465698879469195</c:v>
                </c:pt>
                <c:pt idx="108">
                  <c:v>-3.7727839810465014E-2</c:v>
                </c:pt>
                <c:pt idx="109">
                  <c:v>-0.75243379141602063</c:v>
                </c:pt>
                <c:pt idx="110">
                  <c:v>-2.6299240189345401</c:v>
                </c:pt>
                <c:pt idx="111">
                  <c:v>-1.465766105517508</c:v>
                </c:pt>
                <c:pt idx="112">
                  <c:v>-2.0657966718538852</c:v>
                </c:pt>
                <c:pt idx="113">
                  <c:v>-1.9345274637209364</c:v>
                </c:pt>
                <c:pt idx="114">
                  <c:v>-2.1008685945618808</c:v>
                </c:pt>
                <c:pt idx="115">
                  <c:v>-2.1953047360884987</c:v>
                </c:pt>
                <c:pt idx="116">
                  <c:v>-1.3839830964717912</c:v>
                </c:pt>
                <c:pt idx="117">
                  <c:v>-0.68498091547535189</c:v>
                </c:pt>
                <c:pt idx="118">
                  <c:v>-1.8862312639020615</c:v>
                </c:pt>
                <c:pt idx="119">
                  <c:v>-1.310946483938455</c:v>
                </c:pt>
                <c:pt idx="120">
                  <c:v>-3.5191157714449854</c:v>
                </c:pt>
                <c:pt idx="121">
                  <c:v>-0.77533728059706775</c:v>
                </c:pt>
                <c:pt idx="122">
                  <c:v>-3.0850779349409398</c:v>
                </c:pt>
                <c:pt idx="123">
                  <c:v>#N/A</c:v>
                </c:pt>
                <c:pt idx="124">
                  <c:v>-2.7976281484382817</c:v>
                </c:pt>
                <c:pt idx="125">
                  <c:v>-3.9172166069265915</c:v>
                </c:pt>
                <c:pt idx="126">
                  <c:v>-0.154881378257123</c:v>
                </c:pt>
                <c:pt idx="127">
                  <c:v>-1.265221294397973</c:v>
                </c:pt>
                <c:pt idx="128">
                  <c:v>-0.63530000375917517</c:v>
                </c:pt>
                <c:pt idx="129">
                  <c:v>-3.9202879799516612</c:v>
                </c:pt>
                <c:pt idx="130">
                  <c:v>-1.4297166026304673</c:v>
                </c:pt>
                <c:pt idx="131">
                  <c:v>-0.56474565872768245</c:v>
                </c:pt>
                <c:pt idx="132">
                  <c:v>-2.1391395926754999</c:v>
                </c:pt>
                <c:pt idx="133">
                  <c:v>-3.4904140198573987</c:v>
                </c:pt>
                <c:pt idx="134">
                  <c:v>-1.978159760062109</c:v>
                </c:pt>
                <c:pt idx="135">
                  <c:v>-1.3949564772693339</c:v>
                </c:pt>
                <c:pt idx="136">
                  <c:v>-0.30892016019755708</c:v>
                </c:pt>
                <c:pt idx="137">
                  <c:v>-0.17556418109892213</c:v>
                </c:pt>
                <c:pt idx="138">
                  <c:v>-2.8434330651812392</c:v>
                </c:pt>
                <c:pt idx="139">
                  <c:v>-0.58295116604583264</c:v>
                </c:pt>
                <c:pt idx="140">
                  <c:v>-3.02996481895633</c:v>
                </c:pt>
                <c:pt idx="141">
                  <c:v>-3.7395535892615346</c:v>
                </c:pt>
                <c:pt idx="142">
                  <c:v>-1.6692924033097611</c:v>
                </c:pt>
                <c:pt idx="143">
                  <c:v>-3.7316209281265627</c:v>
                </c:pt>
                <c:pt idx="144">
                  <c:v>-1.5920698418948724</c:v>
                </c:pt>
                <c:pt idx="145">
                  <c:v>-1.7940013421630514</c:v>
                </c:pt>
                <c:pt idx="146">
                  <c:v>-1.5056926797160965</c:v>
                </c:pt>
                <c:pt idx="147">
                  <c:v>-6.5626796448965408E-2</c:v>
                </c:pt>
                <c:pt idx="148">
                  <c:v>-3.4808398932109554</c:v>
                </c:pt>
                <c:pt idx="149">
                  <c:v>-1.9270123775782615</c:v>
                </c:pt>
                <c:pt idx="150">
                  <c:v>-0.33158162105742761</c:v>
                </c:pt>
                <c:pt idx="151">
                  <c:v>0</c:v>
                </c:pt>
                <c:pt idx="152">
                  <c:v>-1.1630734788487977</c:v>
                </c:pt>
                <c:pt idx="153">
                  <c:v>-2.2719822476094151</c:v>
                </c:pt>
                <c:pt idx="154">
                  <c:v>-1.546008135080859</c:v>
                </c:pt>
                <c:pt idx="155">
                  <c:v>-2.7533929353703401</c:v>
                </c:pt>
                <c:pt idx="156">
                  <c:v>#N/A</c:v>
                </c:pt>
                <c:pt idx="157">
                  <c:v>#N/A</c:v>
                </c:pt>
                <c:pt idx="158">
                  <c:v>-3.4582980208092042</c:v>
                </c:pt>
                <c:pt idx="159">
                  <c:v>#N/A</c:v>
                </c:pt>
                <c:pt idx="160">
                  <c:v>-4.5610470806479535</c:v>
                </c:pt>
                <c:pt idx="161">
                  <c:v>-3.6812993780588386</c:v>
                </c:pt>
                <c:pt idx="162">
                  <c:v>-2.3565461533343459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xVal>
          <c:yVal>
            <c:numRef>
              <c:f>TFP!$P$3:$P$168</c:f>
              <c:numCache>
                <c:formatCode>General</c:formatCode>
                <c:ptCount val="166"/>
                <c:pt idx="0">
                  <c:v>-0.95089280000000009</c:v>
                </c:pt>
                <c:pt idx="1">
                  <c:v>-0.93632480000000007</c:v>
                </c:pt>
                <c:pt idx="2">
                  <c:v>-0.38606340000000006</c:v>
                </c:pt>
                <c:pt idx="3">
                  <c:v>#N/A</c:v>
                </c:pt>
                <c:pt idx="4">
                  <c:v>-0.28806000000000015</c:v>
                </c:pt>
                <c:pt idx="5">
                  <c:v>-0.51140320000000006</c:v>
                </c:pt>
                <c:pt idx="6">
                  <c:v>-0.2419060000000002</c:v>
                </c:pt>
                <c:pt idx="7">
                  <c:v>-8.1920599999999982E-2</c:v>
                </c:pt>
                <c:pt idx="8">
                  <c:v>#N/A</c:v>
                </c:pt>
                <c:pt idx="9">
                  <c:v>-1.0268908000000003</c:v>
                </c:pt>
                <c:pt idx="10">
                  <c:v>-0.56670560000000014</c:v>
                </c:pt>
                <c:pt idx="11">
                  <c:v>-9.9763200000000149E-2</c:v>
                </c:pt>
                <c:pt idx="12">
                  <c:v>#N/A</c:v>
                </c:pt>
                <c:pt idx="13">
                  <c:v>#N/A</c:v>
                </c:pt>
                <c:pt idx="14">
                  <c:v>-0.65577260000000015</c:v>
                </c:pt>
                <c:pt idx="15">
                  <c:v>-1.7832389600000003</c:v>
                </c:pt>
                <c:pt idx="16">
                  <c:v>-1.2152652000000002</c:v>
                </c:pt>
                <c:pt idx="17">
                  <c:v>-0.33741220000000005</c:v>
                </c:pt>
                <c:pt idx="18">
                  <c:v>-0.39510320000000015</c:v>
                </c:pt>
                <c:pt idx="19">
                  <c:v>-0.66036720000000004</c:v>
                </c:pt>
                <c:pt idx="20">
                  <c:v>-0.92712380000000016</c:v>
                </c:pt>
                <c:pt idx="21">
                  <c:v>-1.0610692000000002</c:v>
                </c:pt>
                <c:pt idx="22">
                  <c:v>-1.0641344000000001</c:v>
                </c:pt>
                <c:pt idx="23">
                  <c:v>-0.1439410000000001</c:v>
                </c:pt>
                <c:pt idx="24">
                  <c:v>-1.0069500000000002</c:v>
                </c:pt>
                <c:pt idx="25">
                  <c:v>-0.99202080000000026</c:v>
                </c:pt>
                <c:pt idx="26">
                  <c:v>-0.27195019999999998</c:v>
                </c:pt>
                <c:pt idx="27">
                  <c:v>-0.72802100000000014</c:v>
                </c:pt>
                <c:pt idx="28">
                  <c:v>-0.46439460000000016</c:v>
                </c:pt>
                <c:pt idx="29">
                  <c:v>-0.97461720000000029</c:v>
                </c:pt>
                <c:pt idx="30">
                  <c:v>-0.3737196000000001</c:v>
                </c:pt>
                <c:pt idx="31">
                  <c:v>-0.52518240000000016</c:v>
                </c:pt>
                <c:pt idx="32">
                  <c:v>-0.52633020000000008</c:v>
                </c:pt>
                <c:pt idx="33">
                  <c:v>-0.42922100000000019</c:v>
                </c:pt>
                <c:pt idx="34">
                  <c:v>-0.64738200000000012</c:v>
                </c:pt>
                <c:pt idx="35">
                  <c:v>-0.13883240000000002</c:v>
                </c:pt>
                <c:pt idx="36">
                  <c:v>-0.79468440000000007</c:v>
                </c:pt>
                <c:pt idx="37">
                  <c:v>-0.73135260000000013</c:v>
                </c:pt>
                <c:pt idx="38">
                  <c:v>-0.70761620000000014</c:v>
                </c:pt>
                <c:pt idx="39">
                  <c:v>-0.54232440000000015</c:v>
                </c:pt>
                <c:pt idx="40">
                  <c:v>#N/A</c:v>
                </c:pt>
                <c:pt idx="41">
                  <c:v>#N/A</c:v>
                </c:pt>
                <c:pt idx="42">
                  <c:v>-0.52754900000000016</c:v>
                </c:pt>
                <c:pt idx="43">
                  <c:v>#N/A</c:v>
                </c:pt>
                <c:pt idx="44">
                  <c:v>-0.22744339999999996</c:v>
                </c:pt>
                <c:pt idx="45">
                  <c:v>-4.8309800000000118E-2</c:v>
                </c:pt>
                <c:pt idx="46">
                  <c:v>-0.67054280000000011</c:v>
                </c:pt>
                <c:pt idx="47">
                  <c:v>-0.56370720000000007</c:v>
                </c:pt>
                <c:pt idx="48">
                  <c:v>#N/A</c:v>
                </c:pt>
                <c:pt idx="49">
                  <c:v>5.3188000000000107E-3</c:v>
                </c:pt>
                <c:pt idx="50">
                  <c:v>#N/A</c:v>
                </c:pt>
                <c:pt idx="51">
                  <c:v>-0.63550380000000006</c:v>
                </c:pt>
                <c:pt idx="52">
                  <c:v>-0.44801220000000003</c:v>
                </c:pt>
                <c:pt idx="53">
                  <c:v>-0.29821160000000024</c:v>
                </c:pt>
                <c:pt idx="54">
                  <c:v>-0.87533020000000017</c:v>
                </c:pt>
                <c:pt idx="55">
                  <c:v>#N/A</c:v>
                </c:pt>
                <c:pt idx="56">
                  <c:v>#N/A</c:v>
                </c:pt>
                <c:pt idx="57">
                  <c:v>-0.92691820000000014</c:v>
                </c:pt>
                <c:pt idx="58">
                  <c:v>-0.88981620000000017</c:v>
                </c:pt>
                <c:pt idx="59">
                  <c:v>-0.79611160000000014</c:v>
                </c:pt>
                <c:pt idx="60">
                  <c:v>-0.3060168000000002</c:v>
                </c:pt>
                <c:pt idx="61">
                  <c:v>#N/A</c:v>
                </c:pt>
                <c:pt idx="62">
                  <c:v>-0.27810599999999996</c:v>
                </c:pt>
                <c:pt idx="63">
                  <c:v>-0.55447100000000016</c:v>
                </c:pt>
                <c:pt idx="64">
                  <c:v>-1.0927474000000001</c:v>
                </c:pt>
                <c:pt idx="65">
                  <c:v>-1.1833100000000003</c:v>
                </c:pt>
                <c:pt idx="66">
                  <c:v>-0.54428500000000013</c:v>
                </c:pt>
                <c:pt idx="67">
                  <c:v>-0.87298560000000014</c:v>
                </c:pt>
                <c:pt idx="68">
                  <c:v>-0.14847120000000019</c:v>
                </c:pt>
                <c:pt idx="69">
                  <c:v>#N/A</c:v>
                </c:pt>
                <c:pt idx="70">
                  <c:v>-0.24352300000000016</c:v>
                </c:pt>
                <c:pt idx="71">
                  <c:v>-0.77030840000000023</c:v>
                </c:pt>
                <c:pt idx="72">
                  <c:v>#N/A</c:v>
                </c:pt>
                <c:pt idx="73">
                  <c:v>-0.5482412000000001</c:v>
                </c:pt>
                <c:pt idx="74">
                  <c:v>#N/A</c:v>
                </c:pt>
                <c:pt idx="75">
                  <c:v>-1.0048246000000001</c:v>
                </c:pt>
                <c:pt idx="76">
                  <c:v>-0.95196900000000018</c:v>
                </c:pt>
                <c:pt idx="77">
                  <c:v>-0.65551180000000009</c:v>
                </c:pt>
                <c:pt idx="78">
                  <c:v>#N/A</c:v>
                </c:pt>
                <c:pt idx="79">
                  <c:v>-0.81432680000000013</c:v>
                </c:pt>
                <c:pt idx="80">
                  <c:v>-0.60228380000000004</c:v>
                </c:pt>
                <c:pt idx="81">
                  <c:v>-1.0488176000000002</c:v>
                </c:pt>
                <c:pt idx="82">
                  <c:v>-1.2919894000000001</c:v>
                </c:pt>
                <c:pt idx="83">
                  <c:v>-1.1443506000000003</c:v>
                </c:pt>
                <c:pt idx="84">
                  <c:v>-1.1969604000000003</c:v>
                </c:pt>
                <c:pt idx="85">
                  <c:v>-0.60586780000000007</c:v>
                </c:pt>
                <c:pt idx="86">
                  <c:v>#N/A</c:v>
                </c:pt>
                <c:pt idx="87">
                  <c:v>#N/A</c:v>
                </c:pt>
                <c:pt idx="88">
                  <c:v>-0.73198200000000024</c:v>
                </c:pt>
                <c:pt idx="89">
                  <c:v>-0.93969920000000018</c:v>
                </c:pt>
                <c:pt idx="90">
                  <c:v>-0.61990440000000013</c:v>
                </c:pt>
                <c:pt idx="91">
                  <c:v>-1.0048126000000002</c:v>
                </c:pt>
                <c:pt idx="92">
                  <c:v>-1.1091498000000002</c:v>
                </c:pt>
                <c:pt idx="93">
                  <c:v>-0.77910460000000015</c:v>
                </c:pt>
                <c:pt idx="94">
                  <c:v>-0.34100500000000011</c:v>
                </c:pt>
                <c:pt idx="95">
                  <c:v>-0.51555620000000013</c:v>
                </c:pt>
                <c:pt idx="96">
                  <c:v>-1.3183180000000003</c:v>
                </c:pt>
                <c:pt idx="97">
                  <c:v>#N/A</c:v>
                </c:pt>
                <c:pt idx="98">
                  <c:v>-0.66239400000000004</c:v>
                </c:pt>
                <c:pt idx="99">
                  <c:v>-1.1906376000000001</c:v>
                </c:pt>
                <c:pt idx="100">
                  <c:v>#N/A</c:v>
                </c:pt>
                <c:pt idx="101">
                  <c:v>#N/A</c:v>
                </c:pt>
                <c:pt idx="102">
                  <c:v>-0.94759260000000023</c:v>
                </c:pt>
                <c:pt idx="103">
                  <c:v>-0.10303439999999996</c:v>
                </c:pt>
                <c:pt idx="104">
                  <c:v>-0.38753900000000002</c:v>
                </c:pt>
                <c:pt idx="105">
                  <c:v>-0.4197358000000001</c:v>
                </c:pt>
                <c:pt idx="106">
                  <c:v>#N/A</c:v>
                </c:pt>
                <c:pt idx="107">
                  <c:v>-0.9212100000000002</c:v>
                </c:pt>
                <c:pt idx="108">
                  <c:v>-4.5737600000000225E-2</c:v>
                </c:pt>
                <c:pt idx="109">
                  <c:v>-0.79251300000000013</c:v>
                </c:pt>
                <c:pt idx="110">
                  <c:v>#N/A</c:v>
                </c:pt>
                <c:pt idx="111">
                  <c:v>-0.816384</c:v>
                </c:pt>
                <c:pt idx="112">
                  <c:v>#N/A</c:v>
                </c:pt>
                <c:pt idx="113">
                  <c:v>-0.74713220000000014</c:v>
                </c:pt>
                <c:pt idx="114">
                  <c:v>-0.41256260000000017</c:v>
                </c:pt>
                <c:pt idx="115">
                  <c:v>-0.50482920000000009</c:v>
                </c:pt>
                <c:pt idx="116">
                  <c:v>-0.55023180000000016</c:v>
                </c:pt>
                <c:pt idx="117">
                  <c:v>-0.53592060000000008</c:v>
                </c:pt>
                <c:pt idx="118">
                  <c:v>-0.45838440000000008</c:v>
                </c:pt>
                <c:pt idx="119">
                  <c:v>-0.54931180000000024</c:v>
                </c:pt>
                <c:pt idx="120">
                  <c:v>-1.0309554000000001</c:v>
                </c:pt>
                <c:pt idx="121">
                  <c:v>-1.0219468000000003</c:v>
                </c:pt>
                <c:pt idx="122">
                  <c:v>-0.35927920000000002</c:v>
                </c:pt>
                <c:pt idx="123">
                  <c:v>#N/A</c:v>
                </c:pt>
                <c:pt idx="124">
                  <c:v>-0.26575640000000023</c:v>
                </c:pt>
                <c:pt idx="125">
                  <c:v>-0.9292718000000002</c:v>
                </c:pt>
                <c:pt idx="126">
                  <c:v>-0.95969380000000015</c:v>
                </c:pt>
                <c:pt idx="127">
                  <c:v>-0.83909320000000021</c:v>
                </c:pt>
                <c:pt idx="128">
                  <c:v>-0.77965560000000012</c:v>
                </c:pt>
                <c:pt idx="129">
                  <c:v>-1.0325726000000002</c:v>
                </c:pt>
                <c:pt idx="130">
                  <c:v>-0.48914640000000015</c:v>
                </c:pt>
                <c:pt idx="131">
                  <c:v>-0.25894280000000014</c:v>
                </c:pt>
                <c:pt idx="132">
                  <c:v>-0.68609740000000008</c:v>
                </c:pt>
                <c:pt idx="133">
                  <c:v>-0.92796320000000021</c:v>
                </c:pt>
                <c:pt idx="134">
                  <c:v>#N/A</c:v>
                </c:pt>
                <c:pt idx="135">
                  <c:v>-1.2068816000000002</c:v>
                </c:pt>
                <c:pt idx="136">
                  <c:v>-0.15453500000000023</c:v>
                </c:pt>
                <c:pt idx="137">
                  <c:v>-0.22553940000000011</c:v>
                </c:pt>
                <c:pt idx="138">
                  <c:v>-0.87443580000000021</c:v>
                </c:pt>
                <c:pt idx="139">
                  <c:v>-0.81796340000000012</c:v>
                </c:pt>
                <c:pt idx="140">
                  <c:v>#N/A</c:v>
                </c:pt>
                <c:pt idx="141">
                  <c:v>#N/A</c:v>
                </c:pt>
                <c:pt idx="142">
                  <c:v>-0.7524706000000001</c:v>
                </c:pt>
                <c:pt idx="143">
                  <c:v>-0.8607800000000001</c:v>
                </c:pt>
                <c:pt idx="144">
                  <c:v>-0.68619560000000013</c:v>
                </c:pt>
                <c:pt idx="145">
                  <c:v>-0.61502500000000015</c:v>
                </c:pt>
                <c:pt idx="146">
                  <c:v>#N/A</c:v>
                </c:pt>
                <c:pt idx="147">
                  <c:v>-1.1984016000000002</c:v>
                </c:pt>
                <c:pt idx="148">
                  <c:v>-0.93039000000000005</c:v>
                </c:pt>
                <c:pt idx="149">
                  <c:v>-0.50357020000000008</c:v>
                </c:pt>
                <c:pt idx="150">
                  <c:v>-8.3098600000000161E-2</c:v>
                </c:pt>
                <c:pt idx="151">
                  <c:v>0</c:v>
                </c:pt>
                <c:pt idx="152">
                  <c:v>-0.45060520000000009</c:v>
                </c:pt>
                <c:pt idx="153">
                  <c:v>#N/A</c:v>
                </c:pt>
                <c:pt idx="154">
                  <c:v>-0.50604120000000008</c:v>
                </c:pt>
                <c:pt idx="155">
                  <c:v>-0.70004140000000015</c:v>
                </c:pt>
                <c:pt idx="156">
                  <c:v>#N/A</c:v>
                </c:pt>
                <c:pt idx="157">
                  <c:v>#N/A</c:v>
                </c:pt>
                <c:pt idx="158">
                  <c:v>-0.91539740000000014</c:v>
                </c:pt>
                <c:pt idx="159">
                  <c:v>-0.57626600000000017</c:v>
                </c:pt>
                <c:pt idx="160">
                  <c:v>#N/A</c:v>
                </c:pt>
                <c:pt idx="161">
                  <c:v>-0.7677486</c:v>
                </c:pt>
                <c:pt idx="162">
                  <c:v>-0.5362958000000001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TFP!$J$3:$J$168</c:f>
              <c:numCache>
                <c:formatCode>General</c:formatCode>
                <c:ptCount val="166"/>
                <c:pt idx="0">
                  <c:v>-4.2749503382868443</c:v>
                </c:pt>
                <c:pt idx="1">
                  <c:v>-2.2028640946138101</c:v>
                </c:pt>
                <c:pt idx="2">
                  <c:v>-1.7872814095100988</c:v>
                </c:pt>
                <c:pt idx="3">
                  <c:v>-2.8564671235681622</c:v>
                </c:pt>
                <c:pt idx="4">
                  <c:v>-1.1093971935490359</c:v>
                </c:pt>
                <c:pt idx="5">
                  <c:v>-2.2924635187890576</c:v>
                </c:pt>
                <c:pt idx="6">
                  <c:v>-0.28531172790736825</c:v>
                </c:pt>
                <c:pt idx="7">
                  <c:v>-0.24119584536981087</c:v>
                </c:pt>
                <c:pt idx="8">
                  <c:v>-2.2586023741352115</c:v>
                </c:pt>
                <c:pt idx="9">
                  <c:v>-2.9212136383516807</c:v>
                </c:pt>
                <c:pt idx="10">
                  <c:v>-1.2339324215640026</c:v>
                </c:pt>
                <c:pt idx="11">
                  <c:v>-0.33176397095402343</c:v>
                </c:pt>
                <c:pt idx="12">
                  <c:v>-1.7428597383847642</c:v>
                </c:pt>
                <c:pt idx="13">
                  <c:v>-3.3127024109685994</c:v>
                </c:pt>
                <c:pt idx="14">
                  <c:v>-2.4622993854918249</c:v>
                </c:pt>
                <c:pt idx="15">
                  <c:v>-2.4260939513008513</c:v>
                </c:pt>
                <c:pt idx="16">
                  <c:v>-1.5551338378306419</c:v>
                </c:pt>
                <c:pt idx="17">
                  <c:v>-1.5638326876019217</c:v>
                </c:pt>
                <c:pt idx="18">
                  <c:v>-1.5549882124118373</c:v>
                </c:pt>
                <c:pt idx="19">
                  <c:v>-3.6061512653694789</c:v>
                </c:pt>
                <c:pt idx="20">
                  <c:v>-3.8953521797819999</c:v>
                </c:pt>
                <c:pt idx="21">
                  <c:v>-4.202738099465023</c:v>
                </c:pt>
                <c:pt idx="22">
                  <c:v>-2.6321070244159532</c:v>
                </c:pt>
                <c:pt idx="23">
                  <c:v>-0.24784883732178642</c:v>
                </c:pt>
                <c:pt idx="24">
                  <c:v>-3.5934863944996209</c:v>
                </c:pt>
                <c:pt idx="25">
                  <c:v>-3.7239500620921646</c:v>
                </c:pt>
                <c:pt idx="26">
                  <c:v>-1.1007661710341115</c:v>
                </c:pt>
                <c:pt idx="27">
                  <c:v>-2.1502738611581993</c:v>
                </c:pt>
                <c:pt idx="28">
                  <c:v>-1.7320723513726808</c:v>
                </c:pt>
                <c:pt idx="29">
                  <c:v>-3.2853395436670842</c:v>
                </c:pt>
                <c:pt idx="30">
                  <c:v>-1.4157846338650053</c:v>
                </c:pt>
                <c:pt idx="31">
                  <c:v>-1.3420685921336517</c:v>
                </c:pt>
                <c:pt idx="32">
                  <c:v>-1.7968004320010156</c:v>
                </c:pt>
                <c:pt idx="33">
                  <c:v>#N/A</c:v>
                </c:pt>
                <c:pt idx="34">
                  <c:v>-0.9257357516795377</c:v>
                </c:pt>
                <c:pt idx="35">
                  <c:v>-0.21100720400689355</c:v>
                </c:pt>
                <c:pt idx="36">
                  <c:v>#N/A</c:v>
                </c:pt>
                <c:pt idx="37">
                  <c:v>-2.0750560143554111</c:v>
                </c:pt>
                <c:pt idx="38">
                  <c:v>-2.0250155727992549</c:v>
                </c:pt>
                <c:pt idx="39">
                  <c:v>-1.9826491617421009</c:v>
                </c:pt>
                <c:pt idx="40">
                  <c:v>-1.6660623895213149</c:v>
                </c:pt>
                <c:pt idx="41">
                  <c:v>-4.1251065914871612</c:v>
                </c:pt>
                <c:pt idx="42">
                  <c:v>-1.1318005378975116</c:v>
                </c:pt>
                <c:pt idx="43">
                  <c:v>-3.8581041465045187</c:v>
                </c:pt>
                <c:pt idx="44">
                  <c:v>-0.41286842619685515</c:v>
                </c:pt>
                <c:pt idx="45">
                  <c:v>-0.31636829327474025</c:v>
                </c:pt>
                <c:pt idx="46">
                  <c:v>-1.1914918286734437</c:v>
                </c:pt>
                <c:pt idx="47">
                  <c:v>-3.5842637101190657</c:v>
                </c:pt>
                <c:pt idx="48">
                  <c:v>-2.1796862632378122</c:v>
                </c:pt>
                <c:pt idx="49">
                  <c:v>-0.31569764337801409</c:v>
                </c:pt>
                <c:pt idx="50">
                  <c:v>#N/A</c:v>
                </c:pt>
                <c:pt idx="51">
                  <c:v>-3.2061383488102004</c:v>
                </c:pt>
                <c:pt idx="52">
                  <c:v>-0.89922571411756813</c:v>
                </c:pt>
                <c:pt idx="53">
                  <c:v>-2.1864950239933254</c:v>
                </c:pt>
                <c:pt idx="54">
                  <c:v>-2.6024527474868249</c:v>
                </c:pt>
                <c:pt idx="55">
                  <c:v>-3.8083064785606204</c:v>
                </c:pt>
                <c:pt idx="56">
                  <c:v>-2.2197632166356112</c:v>
                </c:pt>
                <c:pt idx="57">
                  <c:v>-2.8098196590106372</c:v>
                </c:pt>
                <c:pt idx="58">
                  <c:v>-2.7307019917407303</c:v>
                </c:pt>
                <c:pt idx="59">
                  <c:v>-0.23247884717634193</c:v>
                </c:pt>
                <c:pt idx="60">
                  <c:v>-1.104907473504749</c:v>
                </c:pt>
                <c:pt idx="61">
                  <c:v>-0.28685787180306122</c:v>
                </c:pt>
                <c:pt idx="62">
                  <c:v>-2.5647876045735218</c:v>
                </c:pt>
                <c:pt idx="63">
                  <c:v>-2.2094555457841611</c:v>
                </c:pt>
                <c:pt idx="64">
                  <c:v>-1.7377055850194409</c:v>
                </c:pt>
                <c:pt idx="65">
                  <c:v>-2.6428362721996663</c:v>
                </c:pt>
                <c:pt idx="66">
                  <c:v>-0.32024827710488069</c:v>
                </c:pt>
                <c:pt idx="67">
                  <c:v>-0.43527099362842847</c:v>
                </c:pt>
                <c:pt idx="68">
                  <c:v>-0.42407725938607044</c:v>
                </c:pt>
                <c:pt idx="69">
                  <c:v>-2.7615328136143908</c:v>
                </c:pt>
                <c:pt idx="70">
                  <c:v>-0.36019754463691811</c:v>
                </c:pt>
                <c:pt idx="71">
                  <c:v>-2.1755766196022499</c:v>
                </c:pt>
                <c:pt idx="72">
                  <c:v>-1.6622178419956395</c:v>
                </c:pt>
                <c:pt idx="73">
                  <c:v>-3.2998071591999434</c:v>
                </c:pt>
                <c:pt idx="74">
                  <c:v>#N/A</c:v>
                </c:pt>
                <c:pt idx="75">
                  <c:v>-3.215699752491556</c:v>
                </c:pt>
                <c:pt idx="76">
                  <c:v>-0.78321878074021001</c:v>
                </c:pt>
                <c:pt idx="77">
                  <c:v>-0.31274807607979938</c:v>
                </c:pt>
                <c:pt idx="78">
                  <c:v>-2.3164070782405268</c:v>
                </c:pt>
                <c:pt idx="79">
                  <c:v>-3.3080197759560397</c:v>
                </c:pt>
                <c:pt idx="80">
                  <c:v>-1.3400094578744621</c:v>
                </c:pt>
                <c:pt idx="81">
                  <c:v>-1.716531676564589</c:v>
                </c:pt>
                <c:pt idx="82">
                  <c:v>-2.9305782809131795</c:v>
                </c:pt>
                <c:pt idx="83">
                  <c:v>-4.2868750510911324</c:v>
                </c:pt>
                <c:pt idx="84">
                  <c:v>-1.2015023873021029</c:v>
                </c:pt>
                <c:pt idx="85">
                  <c:v>-1.3220940129359899</c:v>
                </c:pt>
                <c:pt idx="86">
                  <c:v>0.33869321671572727</c:v>
                </c:pt>
                <c:pt idx="87">
                  <c:v>-1.8748558697277904</c:v>
                </c:pt>
                <c:pt idx="88">
                  <c:v>-3.7319663916610342</c:v>
                </c:pt>
                <c:pt idx="89">
                  <c:v>-3.7125815778529265</c:v>
                </c:pt>
                <c:pt idx="90">
                  <c:v>-1.1029281675683613</c:v>
                </c:pt>
                <c:pt idx="91">
                  <c:v>-3.4913634006265895</c:v>
                </c:pt>
                <c:pt idx="92">
                  <c:v>-3.1173396175815267</c:v>
                </c:pt>
                <c:pt idx="93">
                  <c:v>-0.82093909195978298</c:v>
                </c:pt>
                <c:pt idx="94">
                  <c:v>-1.4473734252728701</c:v>
                </c:pt>
                <c:pt idx="95">
                  <c:v>-2.7406011370476469</c:v>
                </c:pt>
                <c:pt idx="96">
                  <c:v>-3.1310382507530257</c:v>
                </c:pt>
                <c:pt idx="97">
                  <c:v>#N/A</c:v>
                </c:pt>
                <c:pt idx="98">
                  <c:v>-2.2232874261541529</c:v>
                </c:pt>
                <c:pt idx="99">
                  <c:v>-3.4479336637335862</c:v>
                </c:pt>
                <c:pt idx="100">
                  <c:v>#N/A</c:v>
                </c:pt>
                <c:pt idx="101">
                  <c:v>-1.8752684370459853</c:v>
                </c:pt>
                <c:pt idx="102">
                  <c:v>-3.185657030024128</c:v>
                </c:pt>
                <c:pt idx="103">
                  <c:v>-0.26771808636579131</c:v>
                </c:pt>
                <c:pt idx="104">
                  <c:v>-0.52036639380594352</c:v>
                </c:pt>
                <c:pt idx="105">
                  <c:v>-2.3021774541366256</c:v>
                </c:pt>
                <c:pt idx="106">
                  <c:v>-3.750892736302041</c:v>
                </c:pt>
                <c:pt idx="107">
                  <c:v>-3.465698879469195</c:v>
                </c:pt>
                <c:pt idx="108">
                  <c:v>-3.7727839810465014E-2</c:v>
                </c:pt>
                <c:pt idx="109">
                  <c:v>-0.75243379141602063</c:v>
                </c:pt>
                <c:pt idx="110">
                  <c:v>-2.6299240189345401</c:v>
                </c:pt>
                <c:pt idx="111">
                  <c:v>-1.465766105517508</c:v>
                </c:pt>
                <c:pt idx="112">
                  <c:v>-2.0657966718538852</c:v>
                </c:pt>
                <c:pt idx="113">
                  <c:v>-1.9345274637209364</c:v>
                </c:pt>
                <c:pt idx="114">
                  <c:v>-2.1008685945618808</c:v>
                </c:pt>
                <c:pt idx="115">
                  <c:v>-2.1953047360884987</c:v>
                </c:pt>
                <c:pt idx="116">
                  <c:v>-1.3839830964717912</c:v>
                </c:pt>
                <c:pt idx="117">
                  <c:v>-0.68498091547535189</c:v>
                </c:pt>
                <c:pt idx="118">
                  <c:v>-1.8862312639020615</c:v>
                </c:pt>
                <c:pt idx="119">
                  <c:v>-1.310946483938455</c:v>
                </c:pt>
                <c:pt idx="120">
                  <c:v>-3.5191157714449854</c:v>
                </c:pt>
                <c:pt idx="121">
                  <c:v>-0.77533728059706775</c:v>
                </c:pt>
                <c:pt idx="122">
                  <c:v>-3.0850779349409398</c:v>
                </c:pt>
                <c:pt idx="123">
                  <c:v>#N/A</c:v>
                </c:pt>
                <c:pt idx="124">
                  <c:v>-2.7976281484382817</c:v>
                </c:pt>
                <c:pt idx="125">
                  <c:v>-3.9172166069265915</c:v>
                </c:pt>
                <c:pt idx="126">
                  <c:v>-0.154881378257123</c:v>
                </c:pt>
                <c:pt idx="127">
                  <c:v>-1.265221294397973</c:v>
                </c:pt>
                <c:pt idx="128">
                  <c:v>-0.63530000375917517</c:v>
                </c:pt>
                <c:pt idx="129">
                  <c:v>-3.9202879799516612</c:v>
                </c:pt>
                <c:pt idx="130">
                  <c:v>-1.4297166026304673</c:v>
                </c:pt>
                <c:pt idx="131">
                  <c:v>-0.56474565872768245</c:v>
                </c:pt>
                <c:pt idx="132">
                  <c:v>-2.1391395926754999</c:v>
                </c:pt>
                <c:pt idx="133">
                  <c:v>-3.4904140198573987</c:v>
                </c:pt>
                <c:pt idx="134">
                  <c:v>-1.978159760062109</c:v>
                </c:pt>
                <c:pt idx="135">
                  <c:v>-1.3949564772693339</c:v>
                </c:pt>
                <c:pt idx="136">
                  <c:v>-0.30892016019755708</c:v>
                </c:pt>
                <c:pt idx="137">
                  <c:v>-0.17556418109892213</c:v>
                </c:pt>
                <c:pt idx="138">
                  <c:v>-2.8434330651812392</c:v>
                </c:pt>
                <c:pt idx="139">
                  <c:v>-0.58295116604583264</c:v>
                </c:pt>
                <c:pt idx="140">
                  <c:v>-3.02996481895633</c:v>
                </c:pt>
                <c:pt idx="141">
                  <c:v>-3.7395535892615346</c:v>
                </c:pt>
                <c:pt idx="142">
                  <c:v>-1.6692924033097611</c:v>
                </c:pt>
                <c:pt idx="143">
                  <c:v>-3.7316209281265627</c:v>
                </c:pt>
                <c:pt idx="144">
                  <c:v>-1.5920698418948724</c:v>
                </c:pt>
                <c:pt idx="145">
                  <c:v>-1.7940013421630514</c:v>
                </c:pt>
                <c:pt idx="146">
                  <c:v>-1.5056926797160965</c:v>
                </c:pt>
                <c:pt idx="147">
                  <c:v>-6.5626796448965408E-2</c:v>
                </c:pt>
                <c:pt idx="148">
                  <c:v>-3.4808398932109554</c:v>
                </c:pt>
                <c:pt idx="149">
                  <c:v>-1.9270123775782615</c:v>
                </c:pt>
                <c:pt idx="150">
                  <c:v>-0.33158162105742761</c:v>
                </c:pt>
                <c:pt idx="151">
                  <c:v>0</c:v>
                </c:pt>
                <c:pt idx="152">
                  <c:v>-1.1630734788487977</c:v>
                </c:pt>
                <c:pt idx="153">
                  <c:v>-2.2719822476094151</c:v>
                </c:pt>
                <c:pt idx="154">
                  <c:v>-1.546008135080859</c:v>
                </c:pt>
                <c:pt idx="155">
                  <c:v>-2.7533929353703401</c:v>
                </c:pt>
                <c:pt idx="156">
                  <c:v>#N/A</c:v>
                </c:pt>
                <c:pt idx="157">
                  <c:v>#N/A</c:v>
                </c:pt>
                <c:pt idx="158">
                  <c:v>-3.4582980208092042</c:v>
                </c:pt>
                <c:pt idx="159">
                  <c:v>#N/A</c:v>
                </c:pt>
                <c:pt idx="160">
                  <c:v>-4.5610470806479535</c:v>
                </c:pt>
                <c:pt idx="161">
                  <c:v>-3.6812993780588386</c:v>
                </c:pt>
                <c:pt idx="162">
                  <c:v>-2.3565461533343459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xVal>
          <c:yVal>
            <c:numRef>
              <c:f>TFP!$S$3:$S$168</c:f>
              <c:numCache>
                <c:formatCode>General</c:formatCode>
                <c:ptCount val="166"/>
                <c:pt idx="0">
                  <c:v>-1.030861571467669</c:v>
                </c:pt>
                <c:pt idx="1">
                  <c:v>-0.71065230437453553</c:v>
                </c:pt>
                <c:pt idx="2">
                  <c:v>-0.64643035057315013</c:v>
                </c:pt>
                <c:pt idx="3">
                  <c:v>-0.81165666532253011</c:v>
                </c:pt>
                <c:pt idx="4">
                  <c:v>-0.54167370319436103</c:v>
                </c:pt>
                <c:pt idx="5">
                  <c:v>-0.72449852628480949</c:v>
                </c:pt>
                <c:pt idx="6">
                  <c:v>-0.41432388665995767</c:v>
                </c:pt>
                <c:pt idx="7">
                  <c:v>-0.40750645111273964</c:v>
                </c:pt>
                <c:pt idx="8">
                  <c:v>-0.71926580378320026</c:v>
                </c:pt>
                <c:pt idx="9">
                  <c:v>-0.82166224984343028</c:v>
                </c:pt>
                <c:pt idx="10">
                  <c:v>-0.56091871976242691</c:v>
                </c:pt>
                <c:pt idx="11">
                  <c:v>-0.42150237102382987</c:v>
                </c:pt>
                <c:pt idx="12">
                  <c:v>-0.63956566007219806</c:v>
                </c:pt>
                <c:pt idx="13">
                  <c:v>-0.88216085762948482</c:v>
                </c:pt>
                <c:pt idx="14">
                  <c:v>-0.75074406435981711</c:v>
                </c:pt>
                <c:pt idx="15">
                  <c:v>-0.74514906773142886</c:v>
                </c:pt>
                <c:pt idx="16">
                  <c:v>-0.61055549062853698</c:v>
                </c:pt>
                <c:pt idx="17">
                  <c:v>-0.61189976494063181</c:v>
                </c:pt>
                <c:pt idx="18">
                  <c:v>-0.61053298644524445</c:v>
                </c:pt>
                <c:pt idx="19">
                  <c:v>-0.9275088941235935</c:v>
                </c:pt>
                <c:pt idx="20">
                  <c:v>-0.97220047640182128</c:v>
                </c:pt>
                <c:pt idx="21">
                  <c:v>-1.0197022733743131</c:v>
                </c:pt>
                <c:pt idx="22">
                  <c:v>-0.7769852402629619</c:v>
                </c:pt>
                <c:pt idx="23">
                  <c:v>-0.4085345693599523</c:v>
                </c:pt>
                <c:pt idx="24">
                  <c:v>-0.92555173185225981</c:v>
                </c:pt>
                <c:pt idx="25">
                  <c:v>-0.94571289816937121</c:v>
                </c:pt>
                <c:pt idx="26">
                  <c:v>-0.54033991054832275</c:v>
                </c:pt>
                <c:pt idx="27">
                  <c:v>-0.70252528738260422</c:v>
                </c:pt>
                <c:pt idx="28">
                  <c:v>-0.63789863424277793</c:v>
                </c:pt>
                <c:pt idx="29">
                  <c:v>-0.87793234459778136</c:v>
                </c:pt>
                <c:pt idx="30">
                  <c:v>-0.58902120043762674</c:v>
                </c:pt>
                <c:pt idx="31">
                  <c:v>-0.57762951258299311</c:v>
                </c:pt>
                <c:pt idx="32">
                  <c:v>-0.64790137004667181</c:v>
                </c:pt>
                <c:pt idx="33">
                  <c:v>#N/A</c:v>
                </c:pt>
                <c:pt idx="34">
                  <c:v>-0.51329163373471742</c:v>
                </c:pt>
                <c:pt idx="35">
                  <c:v>-0.40284125787820424</c:v>
                </c:pt>
                <c:pt idx="36">
                  <c:v>#N/A</c:v>
                </c:pt>
                <c:pt idx="37">
                  <c:v>-0.69090151850204351</c:v>
                </c:pt>
                <c:pt idx="38">
                  <c:v>-0.6831685328868744</c:v>
                </c:pt>
                <c:pt idx="39">
                  <c:v>-0.6766214514247002</c:v>
                </c:pt>
                <c:pt idx="40">
                  <c:v>-0.62769780328325009</c:v>
                </c:pt>
                <c:pt idx="41">
                  <c:v>-1.0077055100403403</c:v>
                </c:pt>
                <c:pt idx="42">
                  <c:v>-0.54513579773611343</c:v>
                </c:pt>
                <c:pt idx="43">
                  <c:v>-0.96644436201572292</c:v>
                </c:pt>
                <c:pt idx="44">
                  <c:v>-0.43403582529031792</c:v>
                </c:pt>
                <c:pt idx="45">
                  <c:v>-0.41912320428733985</c:v>
                </c:pt>
                <c:pt idx="46">
                  <c:v>-0.55436017463141241</c:v>
                </c:pt>
                <c:pt idx="47">
                  <c:v>-0.9241265069055925</c:v>
                </c:pt>
                <c:pt idx="48">
                  <c:v>-0.70707052469698672</c:v>
                </c:pt>
                <c:pt idx="49">
                  <c:v>-0.41901956559345704</c:v>
                </c:pt>
                <c:pt idx="50">
                  <c:v>#N/A</c:v>
                </c:pt>
                <c:pt idx="51">
                  <c:v>-0.86569301014176581</c:v>
                </c:pt>
                <c:pt idx="52">
                  <c:v>-0.50919491250786231</c:v>
                </c:pt>
                <c:pt idx="53">
                  <c:v>-0.70812271463260956</c:v>
                </c:pt>
                <c:pt idx="54">
                  <c:v>-0.77240262488647993</c:v>
                </c:pt>
                <c:pt idx="55">
                  <c:v>-0.95874889335270186</c:v>
                </c:pt>
                <c:pt idx="56">
                  <c:v>-0.71326380546125012</c:v>
                </c:pt>
                <c:pt idx="57">
                  <c:v>-0.80444801245717423</c:v>
                </c:pt>
                <c:pt idx="58">
                  <c:v>-0.79222158591340874</c:v>
                </c:pt>
                <c:pt idx="59">
                  <c:v>-0.4061593722393067</c:v>
                </c:pt>
                <c:pt idx="60">
                  <c:v>-0.54097988556528109</c:v>
                </c:pt>
                <c:pt idx="61">
                  <c:v>-0.4145628195736682</c:v>
                </c:pt>
                <c:pt idx="62">
                  <c:v>-0.76658205257967871</c:v>
                </c:pt>
                <c:pt idx="63">
                  <c:v>-0.7116709124343028</c:v>
                </c:pt>
                <c:pt idx="64">
                  <c:v>-0.63876916442601772</c:v>
                </c:pt>
                <c:pt idx="65">
                  <c:v>-0.77864328156301577</c:v>
                </c:pt>
                <c:pt idx="66">
                  <c:v>-0.41972279650140726</c:v>
                </c:pt>
                <c:pt idx="67">
                  <c:v>-0.43749779977143444</c:v>
                </c:pt>
                <c:pt idx="68">
                  <c:v>-0.43576797918663718</c:v>
                </c:pt>
                <c:pt idx="69">
                  <c:v>-0.79698601833324079</c:v>
                </c:pt>
                <c:pt idx="70">
                  <c:v>-0.42589634536618109</c:v>
                </c:pt>
                <c:pt idx="71">
                  <c:v>-0.70643544206923625</c:v>
                </c:pt>
                <c:pt idx="72">
                  <c:v>-0.62710368720856435</c:v>
                </c:pt>
                <c:pt idx="73">
                  <c:v>-0.88016809351050529</c:v>
                </c:pt>
                <c:pt idx="74">
                  <c:v>#N/A</c:v>
                </c:pt>
                <c:pt idx="75">
                  <c:v>-0.8671705789806774</c:v>
                </c:pt>
                <c:pt idx="76">
                  <c:v>-0.49126781356209698</c:v>
                </c:pt>
                <c:pt idx="77">
                  <c:v>-0.41856375503745963</c:v>
                </c:pt>
                <c:pt idx="78">
                  <c:v>-0.72819863753595371</c:v>
                </c:pt>
                <c:pt idx="79">
                  <c:v>-0.88143722793983514</c:v>
                </c:pt>
                <c:pt idx="80">
                  <c:v>-0.57731130484719317</c:v>
                </c:pt>
                <c:pt idx="81">
                  <c:v>-0.63549706041561382</c:v>
                </c:pt>
                <c:pt idx="82">
                  <c:v>-0.82310941225781464</c:v>
                </c:pt>
                <c:pt idx="83">
                  <c:v>-1.0327043536197231</c:v>
                </c:pt>
                <c:pt idx="84">
                  <c:v>-0.55590715350425779</c:v>
                </c:pt>
                <c:pt idx="85">
                  <c:v>-0.57454274658331195</c:v>
                </c:pt>
                <c:pt idx="86">
                  <c:v>-0.31789345738107755</c:v>
                </c:pt>
                <c:pt idx="87">
                  <c:v>-0.65996364524561291</c:v>
                </c:pt>
                <c:pt idx="88">
                  <c:v>-0.94695169941322022</c:v>
                </c:pt>
                <c:pt idx="89">
                  <c:v>-0.94395607264276882</c:v>
                </c:pt>
                <c:pt idx="90">
                  <c:v>-0.54067401407697846</c:v>
                </c:pt>
                <c:pt idx="91">
                  <c:v>-0.9097701836076878</c:v>
                </c:pt>
                <c:pt idx="92">
                  <c:v>-0.85197052309164634</c:v>
                </c:pt>
                <c:pt idx="93">
                  <c:v>-0.4970969112876501</c:v>
                </c:pt>
                <c:pt idx="94">
                  <c:v>-0.59390276546705345</c:v>
                </c:pt>
                <c:pt idx="95">
                  <c:v>-0.79375134755979526</c:v>
                </c:pt>
                <c:pt idx="96">
                  <c:v>-0.85408743753061689</c:v>
                </c:pt>
                <c:pt idx="97">
                  <c:v>#N/A</c:v>
                </c:pt>
                <c:pt idx="98">
                  <c:v>-0.71380841819175811</c:v>
                </c:pt>
                <c:pt idx="99">
                  <c:v>-0.90305878138540141</c:v>
                </c:pt>
                <c:pt idx="100">
                  <c:v>#N/A</c:v>
                </c:pt>
                <c:pt idx="101">
                  <c:v>-0.66002740122053394</c:v>
                </c:pt>
                <c:pt idx="102">
                  <c:v>-0.86252793528177174</c:v>
                </c:pt>
                <c:pt idx="103">
                  <c:v>-0.41160505819385029</c:v>
                </c:pt>
                <c:pt idx="104">
                  <c:v>-0.45064799359519048</c:v>
                </c:pt>
                <c:pt idx="105">
                  <c:v>-0.72599966656202164</c:v>
                </c:pt>
                <c:pt idx="106">
                  <c:v>-0.94987647677939113</c:v>
                </c:pt>
                <c:pt idx="107">
                  <c:v>-0.90580412402151056</c:v>
                </c:pt>
                <c:pt idx="108">
                  <c:v>-0.37606357988283895</c:v>
                </c:pt>
                <c:pt idx="109">
                  <c:v>-0.48651046386245578</c:v>
                </c:pt>
                <c:pt idx="110">
                  <c:v>-0.77664789012254287</c:v>
                </c:pt>
                <c:pt idx="111">
                  <c:v>-0.59674507315525749</c:v>
                </c:pt>
                <c:pt idx="112">
                  <c:v>-0.6894706286029233</c:v>
                </c:pt>
                <c:pt idx="113">
                  <c:v>-0.66918497830410284</c:v>
                </c:pt>
                <c:pt idx="114">
                  <c:v>-0.69489045835188534</c:v>
                </c:pt>
                <c:pt idx="115">
                  <c:v>-0.70948412102286507</c:v>
                </c:pt>
                <c:pt idx="116">
                  <c:v>-0.58410675876696305</c:v>
                </c:pt>
                <c:pt idx="117">
                  <c:v>-0.47608665257842414</c:v>
                </c:pt>
                <c:pt idx="118">
                  <c:v>-0.66172153859708949</c:v>
                </c:pt>
                <c:pt idx="119">
                  <c:v>-0.57282006631307736</c:v>
                </c:pt>
                <c:pt idx="120">
                  <c:v>-0.91405888845623839</c:v>
                </c:pt>
                <c:pt idx="121">
                  <c:v>-0.49004984814577512</c:v>
                </c:pt>
                <c:pt idx="122">
                  <c:v>-0.8469849730041068</c:v>
                </c:pt>
                <c:pt idx="123">
                  <c:v>#N/A</c:v>
                </c:pt>
                <c:pt idx="124">
                  <c:v>-0.80256400078678536</c:v>
                </c:pt>
                <c:pt idx="125">
                  <c:v>-0.97557928952446926</c:v>
                </c:pt>
                <c:pt idx="126">
                  <c:v>-0.39416786912172408</c:v>
                </c:pt>
                <c:pt idx="127">
                  <c:v>-0.56575393695907028</c:v>
                </c:pt>
                <c:pt idx="128">
                  <c:v>-0.4684092268063404</c:v>
                </c:pt>
                <c:pt idx="129">
                  <c:v>-0.97605392329433782</c:v>
                </c:pt>
                <c:pt idx="130">
                  <c:v>-0.59117417332723254</c:v>
                </c:pt>
                <c:pt idx="131">
                  <c:v>-0.45750613086535152</c:v>
                </c:pt>
                <c:pt idx="132">
                  <c:v>-0.70080465632231426</c:v>
                </c:pt>
                <c:pt idx="133">
                  <c:v>-0.90962347131652566</c:v>
                </c:pt>
                <c:pt idx="134">
                  <c:v>-0.67592768299395734</c:v>
                </c:pt>
                <c:pt idx="135">
                  <c:v>-0.58580252709390601</c:v>
                </c:pt>
                <c:pt idx="136">
                  <c:v>-0.41797220912913191</c:v>
                </c:pt>
                <c:pt idx="137">
                  <c:v>-0.39736408026381653</c:v>
                </c:pt>
                <c:pt idx="138">
                  <c:v>-0.80964245076168839</c:v>
                </c:pt>
                <c:pt idx="139">
                  <c:v>-0.46031951383780434</c:v>
                </c:pt>
                <c:pt idx="140">
                  <c:v>-0.83846808306743714</c:v>
                </c:pt>
                <c:pt idx="141">
                  <c:v>-0.94812418486857486</c:v>
                </c:pt>
                <c:pt idx="142">
                  <c:v>-0.62819695255903785</c:v>
                </c:pt>
                <c:pt idx="143">
                  <c:v>-0.94689831330271534</c:v>
                </c:pt>
                <c:pt idx="144">
                  <c:v>-0.61626338566759231</c:v>
                </c:pt>
                <c:pt idx="145">
                  <c:v>-0.64746881348283225</c:v>
                </c:pt>
                <c:pt idx="146">
                  <c:v>-0.60291511511210527</c:v>
                </c:pt>
                <c:pt idx="147">
                  <c:v>-0.38037493733002781</c:v>
                </c:pt>
                <c:pt idx="148">
                  <c:v>-0.90814393633776913</c:v>
                </c:pt>
                <c:pt idx="149">
                  <c:v>-0.6680236365726786</c:v>
                </c:pt>
                <c:pt idx="150">
                  <c:v>-0.42147419163365157</c:v>
                </c:pt>
                <c:pt idx="151">
                  <c:v>-0.37023331872860177</c:v>
                </c:pt>
                <c:pt idx="152">
                  <c:v>-0.54996855290373003</c:v>
                </c:pt>
                <c:pt idx="153">
                  <c:v>-0.72133345878166177</c:v>
                </c:pt>
                <c:pt idx="154">
                  <c:v>-0.60914525271100806</c:v>
                </c:pt>
                <c:pt idx="155">
                  <c:v>-0.79572812452948938</c:v>
                </c:pt>
                <c:pt idx="156">
                  <c:v>#N/A</c:v>
                </c:pt>
                <c:pt idx="157">
                  <c:v>#N/A</c:v>
                </c:pt>
                <c:pt idx="158">
                  <c:v>-0.90466043440211774</c:v>
                </c:pt>
                <c:pt idx="159">
                  <c:v>#N/A</c:v>
                </c:pt>
                <c:pt idx="160">
                  <c:v>-1.0750734513876825</c:v>
                </c:pt>
                <c:pt idx="161">
                  <c:v>-0.93912188666247409</c:v>
                </c:pt>
                <c:pt idx="162">
                  <c:v>-0.73440151825910582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</c:numCache>
            </c:numRef>
          </c:yVal>
        </c:ser>
        <c:axId val="125229696"/>
        <c:axId val="125305216"/>
      </c:scatterChart>
      <c:valAx>
        <c:axId val="12522969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25305216"/>
        <c:crossesAt val="-2"/>
        <c:crossBetween val="midCat"/>
      </c:valAx>
      <c:valAx>
        <c:axId val="12530521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25229696"/>
        <c:crossesAt val="-5"/>
        <c:crossBetween val="midCat"/>
        <c:majorUnit val="0.4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844989964489732E-2"/>
          <c:y val="9.9510603588907065E-2"/>
          <c:w val="0.88307433268954638"/>
          <c:h val="0.82218597063621535"/>
        </c:manualLayout>
      </c:layout>
      <c:scatterChart>
        <c:scatterStyle val="lineMarker"/>
        <c:ser>
          <c:idx val="0"/>
          <c:order val="0"/>
          <c:tx>
            <c:strRef>
              <c:f>'US Fit plumbing'!$C$3</c:f>
              <c:strCache>
                <c:ptCount val="1"/>
                <c:pt idx="0">
                  <c:v>actual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'US Fit plumbing'!$B$4:$B$165</c:f>
              <c:numCache>
                <c:formatCode>General</c:formatCode>
                <c:ptCount val="16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</c:numCache>
            </c:numRef>
          </c:xVal>
          <c:yVal>
            <c:numRef>
              <c:f>'US Fit plumbing'!$C$4:$C$165</c:f>
              <c:numCache>
                <c:formatCode>General</c:formatCode>
                <c:ptCount val="162"/>
                <c:pt idx="0">
                  <c:v>14.512320000000001</c:v>
                </c:pt>
                <c:pt idx="1">
                  <c:v>14.918799999999999</c:v>
                </c:pt>
                <c:pt idx="2">
                  <c:v>15.32578</c:v>
                </c:pt>
                <c:pt idx="3">
                  <c:v>15.61429</c:v>
                </c:pt>
                <c:pt idx="4">
                  <c:v>16.388120000000001</c:v>
                </c:pt>
                <c:pt idx="5">
                  <c:v>17.042349999999999</c:v>
                </c:pt>
                <c:pt idx="6">
                  <c:v>17.628820000000001</c:v>
                </c:pt>
                <c:pt idx="7">
                  <c:v>17.914840000000002</c:v>
                </c:pt>
                <c:pt idx="8">
                  <c:v>18.25816</c:v>
                </c:pt>
                <c:pt idx="9">
                  <c:v>18.440480000000001</c:v>
                </c:pt>
                <c:pt idx="10">
                  <c:v>18.63579</c:v>
                </c:pt>
                <c:pt idx="11">
                  <c:v>18.77835</c:v>
                </c:pt>
                <c:pt idx="12">
                  <c:v>18.884409999999999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</c:numCache>
            </c:numRef>
          </c:yVal>
        </c:ser>
        <c:ser>
          <c:idx val="1"/>
          <c:order val="1"/>
          <c:tx>
            <c:strRef>
              <c:f>'US Fit plumbing'!$D$3</c:f>
              <c:strCache>
                <c:ptCount val="1"/>
                <c:pt idx="0">
                  <c:v>fitted</c:v>
                </c:pt>
              </c:strCache>
            </c:strRef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'US Fit plumbing'!$B$4:$B$165</c:f>
              <c:numCache>
                <c:formatCode>General</c:formatCode>
                <c:ptCount val="16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</c:numCache>
            </c:numRef>
          </c:xVal>
          <c:yVal>
            <c:numRef>
              <c:f>'US Fit plumbing'!$D$4:$D$165</c:f>
              <c:numCache>
                <c:formatCode>General</c:formatCode>
                <c:ptCount val="162"/>
                <c:pt idx="0">
                  <c:v>14.2751</c:v>
                </c:pt>
                <c:pt idx="1">
                  <c:v>15.023569999999999</c:v>
                </c:pt>
                <c:pt idx="2">
                  <c:v>15.579840000000001</c:v>
                </c:pt>
                <c:pt idx="3">
                  <c:v>16.081289999999999</c:v>
                </c:pt>
                <c:pt idx="4">
                  <c:v>16.504100000000001</c:v>
                </c:pt>
                <c:pt idx="5">
                  <c:v>16.926760000000002</c:v>
                </c:pt>
                <c:pt idx="6">
                  <c:v>17.297540000000001</c:v>
                </c:pt>
                <c:pt idx="7">
                  <c:v>17.633870000000002</c:v>
                </c:pt>
                <c:pt idx="8">
                  <c:v>17.96095</c:v>
                </c:pt>
                <c:pt idx="9">
                  <c:v>18.268750000000001</c:v>
                </c:pt>
                <c:pt idx="10">
                  <c:v>18.581340000000001</c:v>
                </c:pt>
                <c:pt idx="11">
                  <c:v>18.945550000000001</c:v>
                </c:pt>
                <c:pt idx="12">
                  <c:v>19.282330000000002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</c:numCache>
            </c:numRef>
          </c:yVal>
        </c:ser>
        <c:axId val="125411712"/>
        <c:axId val="125413248"/>
      </c:scatterChart>
      <c:valAx>
        <c:axId val="125411712"/>
        <c:scaling>
          <c:orientation val="minMax"/>
        </c:scaling>
        <c:axPos val="b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25413248"/>
        <c:crossesAt val="-4"/>
        <c:crossBetween val="midCat"/>
      </c:valAx>
      <c:valAx>
        <c:axId val="125413248"/>
        <c:scaling>
          <c:orientation val="minMax"/>
          <c:min val="14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254117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210876803551609"/>
          <c:y val="7.8303425774877644E-2"/>
          <c:w val="0.21494635590085101"/>
          <c:h val="0.1538879825992389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4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chart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7">
    <tabColor rgb="FF00B050"/>
  </sheetPr>
  <sheetViews>
    <sheetView zoomScale="11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0">
    <tabColor indexed="57"/>
  </sheetPr>
  <sheetViews>
    <sheetView zoomScale="75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8">
    <tabColor indexed="57"/>
  </sheetPr>
  <sheetViews>
    <sheetView zoomScale="92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6"/>
  <sheetViews>
    <sheetView zoomScale="92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5"/>
  <sheetViews>
    <sheetView zoomScale="92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16">
    <tabColor indexed="57"/>
  </sheetPr>
  <sheetViews>
    <sheetView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8">
    <tabColor indexed="57"/>
  </sheetPr>
  <sheetViews>
    <sheetView zoomScale="75" workbookViewId="0"/>
  </sheetViews>
  <pageMargins left="0.75" right="0.75" top="1" bottom="1" header="0.5" footer="0.5"/>
  <pageSetup orientation="landscape" horizontalDpi="4294967293" r:id="rId1"/>
  <headerFooter alignWithMargins="0"/>
  <drawing r:id="rId2"/>
  <legacyDrawing r:id="rId3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133350</xdr:rowOff>
    </xdr:from>
    <xdr:to>
      <xdr:col>18</xdr:col>
      <xdr:colOff>438150</xdr:colOff>
      <xdr:row>32</xdr:row>
      <xdr:rowOff>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190500" y="133350"/>
          <a:ext cx="11220450" cy="5048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urier New"/>
              <a:cs typeface="Courier New"/>
            </a:rPr>
            <a:t>This workbook contains the estimates of the different 'adoption dates' for the technology country combinations in our dataset. The variable description below explains what is what: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Courier New"/>
              <a:cs typeface="Courier New"/>
            </a:rPr>
            <a:t>Worksheet "List of countries"</a:t>
          </a:r>
          <a:endParaRPr lang="en-US" sz="1000" b="0" i="0" strike="noStrike">
            <a:solidFill>
              <a:srgbClr val="000000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Courier New"/>
              <a:cs typeface="Courier New"/>
            </a:rPr>
            <a:t>no </a:t>
          </a:r>
          <a:r>
            <a:rPr lang="en-US" sz="1000" b="0" i="0" strike="noStrike">
              <a:solidFill>
                <a:srgbClr val="000000"/>
              </a:solidFill>
              <a:latin typeface="Courier New"/>
              <a:cs typeface="Courier New"/>
            </a:rPr>
            <a:t>            number of the country</a:t>
          </a:r>
        </a:p>
        <a:p>
          <a:pPr algn="l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Courier New"/>
              <a:cs typeface="Courier New"/>
            </a:rPr>
            <a:t>country</a:t>
          </a:r>
          <a:r>
            <a:rPr lang="en-US" sz="1000" b="0" i="0" strike="noStrike">
              <a:solidFill>
                <a:srgbClr val="000000"/>
              </a:solidFill>
              <a:latin typeface="Courier New"/>
              <a:cs typeface="Courier New"/>
            </a:rPr>
            <a:t>        mnemonic of the country</a:t>
          </a:r>
        </a:p>
        <a:p>
          <a:pPr algn="l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Courier New"/>
              <a:cs typeface="Courier New"/>
            </a:rPr>
            <a:t>name</a:t>
          </a:r>
          <a:r>
            <a:rPr lang="en-US" sz="1000" b="0" i="0" strike="noStrike">
              <a:solidFill>
                <a:srgbClr val="000000"/>
              </a:solidFill>
              <a:latin typeface="Courier New"/>
              <a:cs typeface="Courier New"/>
            </a:rPr>
            <a:t>           name of the country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urier New"/>
              <a:cs typeface="Courier New"/>
            </a:rPr>
            <a:t>Last updated: December 26th 2007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urier New"/>
              <a:cs typeface="Courier New"/>
            </a:rPr>
            <a:t>By: Bart Hobijn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9301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0.65776</cdr:x>
      <cdr:y>0.22608</cdr:y>
    </cdr:from>
    <cdr:to>
      <cdr:x>0.73918</cdr:x>
      <cdr:y>0.27201</cdr:y>
    </cdr:to>
    <cdr:sp macro="" textlink="">
      <cdr:nvSpPr>
        <cdr:cNvPr id="2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702942" y="1422722"/>
          <a:ext cx="705872" cy="2890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36576" tIns="32004" rIns="36576" bIns="32004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Japan</a:t>
          </a:r>
        </a:p>
      </cdr:txBody>
    </cdr:sp>
  </cdr:relSizeAnchor>
  <cdr:relSizeAnchor xmlns:cdr="http://schemas.openxmlformats.org/drawingml/2006/chartDrawing">
    <cdr:from>
      <cdr:x>0.4005</cdr:x>
      <cdr:y>0.13986</cdr:y>
    </cdr:from>
    <cdr:to>
      <cdr:x>0.57711</cdr:x>
      <cdr:y>0.18584</cdr:y>
    </cdr:to>
    <cdr:sp macro="" textlink="">
      <cdr:nvSpPr>
        <cdr:cNvPr id="3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72404" y="880157"/>
          <a:ext cx="1531234" cy="289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36576" tIns="32004" rIns="36576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United</a:t>
          </a:r>
          <a:r>
            <a:rPr lang="en-US" sz="16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States</a:t>
          </a:r>
          <a:endParaRPr lang="en-US" sz="1600" b="0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  <cdr:relSizeAnchor xmlns:cdr="http://schemas.openxmlformats.org/drawingml/2006/chartDrawing">
    <cdr:from>
      <cdr:x>0.64942</cdr:x>
      <cdr:y>0.37361</cdr:y>
    </cdr:from>
    <cdr:to>
      <cdr:x>0.78709</cdr:x>
      <cdr:y>0.41959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630601" y="2351109"/>
          <a:ext cx="1193639" cy="2893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36576" tIns="32004" rIns="36576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Netherlands</a:t>
          </a:r>
        </a:p>
      </cdr:txBody>
    </cdr:sp>
  </cdr:relSizeAnchor>
  <cdr:relSizeAnchor xmlns:cdr="http://schemas.openxmlformats.org/drawingml/2006/chartDrawing">
    <cdr:from>
      <cdr:x>0.6967</cdr:x>
      <cdr:y>0.58819</cdr:y>
    </cdr:from>
    <cdr:to>
      <cdr:x>0.77812</cdr:x>
      <cdr:y>0.63412</cdr:y>
    </cdr:to>
    <cdr:sp macro="" textlink="">
      <cdr:nvSpPr>
        <cdr:cNvPr id="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040538" y="3701487"/>
          <a:ext cx="705872" cy="2890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36576" tIns="32004" rIns="36576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Kenya</a:t>
          </a:r>
        </a:p>
      </cdr:txBody>
    </cdr:sp>
  </cdr:relSizeAnchor>
  <cdr:relSizeAnchor xmlns:cdr="http://schemas.openxmlformats.org/drawingml/2006/chartDrawing">
    <cdr:from>
      <cdr:x>0</cdr:x>
      <cdr:y>0.20309</cdr:y>
    </cdr:from>
    <cdr:to>
      <cdr:x>0.03198</cdr:x>
      <cdr:y>0.74598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-36171" y="1278038"/>
          <a:ext cx="277310" cy="34164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="vert270" wrap="square" lIns="27432" tIns="27432" rIns="27432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Electricity production (log</a:t>
          </a:r>
          <a:r>
            <a:rPr lang="en-US" sz="16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 kWhr</a:t>
          </a: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0.22975</cdr:y>
    </cdr:from>
    <cdr:to>
      <cdr:x>0.02875</cdr:x>
      <cdr:y>0.76325</cdr:y>
    </cdr:to>
    <cdr:sp macro="" textlink="">
      <cdr:nvSpPr>
        <cdr:cNvPr id="215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341470"/>
          <a:ext cx="246733" cy="3115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Steam and motor ships (log tonnage)</a:t>
          </a:r>
        </a:p>
      </cdr:txBody>
    </cdr:sp>
  </cdr:relSizeAnchor>
  <cdr:relSizeAnchor xmlns:cdr="http://schemas.openxmlformats.org/drawingml/2006/chartDrawing">
    <cdr:from>
      <cdr:x>0.32075</cdr:x>
      <cdr:y>0.4894</cdr:y>
    </cdr:from>
    <cdr:to>
      <cdr:x>0.39216</cdr:x>
      <cdr:y>0.5416</cdr:y>
    </cdr:to>
    <cdr:sp macro="" textlink="">
      <cdr:nvSpPr>
        <cdr:cNvPr id="2150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52684" y="2857500"/>
          <a:ext cx="612815" cy="3048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USA</a:t>
          </a:r>
        </a:p>
      </cdr:txBody>
    </cdr:sp>
  </cdr:relSizeAnchor>
  <cdr:relSizeAnchor xmlns:cdr="http://schemas.openxmlformats.org/drawingml/2006/chartDrawing">
    <cdr:from>
      <cdr:x>0.519</cdr:x>
      <cdr:y>0.4765</cdr:y>
    </cdr:from>
    <cdr:to>
      <cdr:x>0.60125</cdr:x>
      <cdr:y>0.526</cdr:y>
    </cdr:to>
    <cdr:sp macro="" textlink="">
      <cdr:nvSpPr>
        <cdr:cNvPr id="2150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54071" y="2782200"/>
          <a:ext cx="705872" cy="2890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Japan</a:t>
          </a:r>
        </a:p>
      </cdr:txBody>
    </cdr:sp>
  </cdr:relSizeAnchor>
  <cdr:relSizeAnchor xmlns:cdr="http://schemas.openxmlformats.org/drawingml/2006/chartDrawing">
    <cdr:from>
      <cdr:x>0.62225</cdr:x>
      <cdr:y>0.62575</cdr:y>
    </cdr:from>
    <cdr:to>
      <cdr:x>0.73275</cdr:x>
      <cdr:y>0.67625</cdr:y>
    </cdr:to>
    <cdr:sp macro="" textlink="">
      <cdr:nvSpPr>
        <cdr:cNvPr id="2150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340165" y="3653645"/>
          <a:ext cx="948314" cy="294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Argentina</a:t>
          </a:r>
        </a:p>
      </cdr:txBody>
    </cdr:sp>
  </cdr:relSizeAnchor>
  <cdr:relSizeAnchor xmlns:cdr="http://schemas.openxmlformats.org/drawingml/2006/chartDrawing">
    <cdr:from>
      <cdr:x>0.8405</cdr:x>
      <cdr:y>0.723</cdr:y>
    </cdr:from>
    <cdr:to>
      <cdr:x>0.9397</cdr:x>
      <cdr:y>0.77868</cdr:y>
    </cdr:to>
    <cdr:sp macro="" textlink="">
      <cdr:nvSpPr>
        <cdr:cNvPr id="2150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13192" y="4221470"/>
          <a:ext cx="851308" cy="3251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Nigeria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0.3465</cdr:y>
    </cdr:from>
    <cdr:to>
      <cdr:x>0.03</cdr:x>
      <cdr:y>0.689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2023153"/>
          <a:ext cx="257461" cy="19997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vert="vert270" wrap="square" lIns="27432" tIns="27432" rIns="0" bIns="27432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Technology adoption lag</a:t>
          </a:r>
        </a:p>
      </cdr:txBody>
    </cdr:sp>
  </cdr:relSizeAnchor>
  <cdr:relSizeAnchor xmlns:cdr="http://schemas.openxmlformats.org/drawingml/2006/chartDrawing">
    <cdr:from>
      <cdr:x>0.36071</cdr:x>
      <cdr:y>0.95484</cdr:y>
    </cdr:from>
    <cdr:to>
      <cdr:x>0.68402</cdr:x>
      <cdr:y>1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95625" y="5575163"/>
          <a:ext cx="2774673" cy="2636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18288" tIns="27432" rIns="0" bIns="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Invention year of technology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0.34675</cdr:x>
      <cdr:y>0.95075</cdr:y>
    </cdr:from>
    <cdr:to>
      <cdr:x>0.718</cdr:x>
      <cdr:y>0.977</cdr:y>
    </cdr:to>
    <cdr:sp macro="" textlink="">
      <cdr:nvSpPr>
        <cdr:cNvPr id="40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75817" y="5546884"/>
          <a:ext cx="3353426" cy="2101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Ln TFP - Ln TFP(US) (1985, Klenow and Rodriguez-Clare)</a:t>
          </a:r>
        </a:p>
      </cdr:txBody>
    </cdr:sp>
  </cdr:relSizeAnchor>
  <cdr:relSizeAnchor xmlns:cdr="http://schemas.openxmlformats.org/drawingml/2006/chartDrawing">
    <cdr:from>
      <cdr:x>0.005</cdr:x>
      <cdr:y>0.2095</cdr:y>
    </cdr:from>
    <cdr:to>
      <cdr:x>0.01825</cdr:x>
      <cdr:y>0.7085</cdr:y>
    </cdr:to>
    <cdr:sp macro="" textlink="">
      <cdr:nvSpPr>
        <cdr:cNvPr id="409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783" y="1223234"/>
          <a:ext cx="229569" cy="30580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="vert270" wrap="none" lIns="18288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Ln Adoption part of TFP - Ln Adoption part of TFP(US)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0.19075</cdr:y>
    </cdr:from>
    <cdr:to>
      <cdr:x>0.01325</cdr:x>
      <cdr:y>0.68975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113756"/>
          <a:ext cx="229569" cy="30580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="vert270" wrap="none" lIns="18288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Ln Adoption part of TFP - Ln Adoption part of TFP(US)</a:t>
          </a:r>
        </a:p>
      </cdr:txBody>
    </cdr:sp>
  </cdr:relSizeAnchor>
  <cdr:relSizeAnchor xmlns:cdr="http://schemas.openxmlformats.org/drawingml/2006/chartDrawing">
    <cdr:from>
      <cdr:x>0.30675</cdr:x>
      <cdr:y>0.9425</cdr:y>
    </cdr:from>
    <cdr:to>
      <cdr:x>0.76225</cdr:x>
      <cdr:y>0.9635</cdr:y>
    </cdr:to>
    <cdr:sp macro="" textlink="">
      <cdr:nvSpPr>
        <cdr:cNvPr id="512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632536" y="5503093"/>
          <a:ext cx="4076462" cy="2101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Ln TFP - Ln TFP(US) (2000 levels, using Hall and Jones' methodology)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0.10324</cdr:x>
      <cdr:y>0.04537</cdr:y>
    </cdr:from>
    <cdr:to>
      <cdr:x>0.23862</cdr:x>
      <cdr:y>0.09537</cdr:y>
    </cdr:to>
    <cdr:sp macro="" textlink="">
      <cdr:nvSpPr>
        <cdr:cNvPr id="614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5999" y="264900"/>
          <a:ext cx="1161876" cy="2919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t>Correlation</a:t>
          </a: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=</a:t>
          </a:r>
        </a:p>
      </cdr:txBody>
    </cdr:sp>
  </cdr:relSizeAnchor>
  <cdr:relSizeAnchor xmlns:cdr="http://schemas.openxmlformats.org/drawingml/2006/chartDrawing">
    <cdr:from>
      <cdr:x>0.22836</cdr:x>
      <cdr:y>0.047</cdr:y>
    </cdr:from>
    <cdr:to>
      <cdr:x>0.28186</cdr:x>
      <cdr:y>0.09625</cdr:y>
    </cdr:to>
    <cdr:sp macro="" textlink="TFP!$J$170">
      <cdr:nvSpPr>
        <cdr:cNvPr id="6149" name="Text Box 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959764" y="274425"/>
          <a:ext cx="459138" cy="2875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AE27E911-2AB2-4787-9BC5-DF43C0ED7855}" type="TxLink">
            <a:rPr lang="en-US" sz="1600" b="0" i="0" strike="noStrike">
              <a:solidFill>
                <a:srgbClr val="000000"/>
              </a:solidFill>
              <a:latin typeface="Times New Roman"/>
              <a:cs typeface="Times New Roman"/>
            </a:rPr>
            <a:pPr algn="l" rtl="0">
              <a:defRPr sz="1000"/>
            </a:pPr>
            <a:t>0.55</a:t>
          </a:fld>
          <a:endParaRPr lang="en-US" sz="1600" b="0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-31060" y="21121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0.07842</cdr:x>
      <cdr:y>0</cdr:y>
    </cdr:from>
    <cdr:to>
      <cdr:x>0.98079</cdr:x>
      <cdr:y>0.10994</cdr:y>
    </cdr:to>
    <cdr:sp macro="" textlink="'US Fit plumbing'!$B$1">
      <cdr:nvSpPr>
        <cdr:cNvPr id="20481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672962" y="0"/>
          <a:ext cx="7744239" cy="641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5720" rIns="4572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33991AC-AE6D-40DB-BD4C-F91F8A48046B}" type="TxLink">
            <a:rPr lang="en-US" sz="3200" b="0" i="0" strike="noStrike">
              <a:solidFill>
                <a:srgbClr val="000000"/>
              </a:solidFill>
              <a:latin typeface="Times New Roman"/>
              <a:cs typeface="Times New Roman"/>
            </a:rPr>
            <a:pPr algn="ctr" rtl="0">
              <a:defRPr sz="1000"/>
            </a:pPr>
            <a:t>Internet users</a:t>
          </a:fld>
          <a:endParaRPr lang="en-US" sz="3200" b="0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22"/>
  </sheetPr>
  <dimension ref="A1"/>
  <sheetViews>
    <sheetView workbookViewId="0">
      <selection activeCell="E36" sqref="E36"/>
    </sheetView>
  </sheetViews>
  <sheetFormatPr defaultRowHeight="12.75"/>
  <sheetData/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enableFormatConditionsCalculation="0">
    <tabColor indexed="11"/>
  </sheetPr>
  <dimension ref="A2:L27"/>
  <sheetViews>
    <sheetView topLeftCell="A3" workbookViewId="0">
      <selection activeCell="O19" sqref="O19"/>
    </sheetView>
  </sheetViews>
  <sheetFormatPr defaultRowHeight="12.75"/>
  <cols>
    <col min="2" max="2" width="4.140625" customWidth="1"/>
    <col min="3" max="3" width="27.28515625" customWidth="1"/>
  </cols>
  <sheetData>
    <row r="2" spans="1:12">
      <c r="F2" t="s">
        <v>194</v>
      </c>
      <c r="G2" t="s">
        <v>194</v>
      </c>
    </row>
    <row r="3" spans="1:12">
      <c r="A3" t="s">
        <v>173</v>
      </c>
      <c r="C3" t="s">
        <v>174</v>
      </c>
      <c r="D3" t="s">
        <v>188</v>
      </c>
      <c r="E3" t="s">
        <v>192</v>
      </c>
      <c r="F3" t="s">
        <v>190</v>
      </c>
      <c r="G3" t="s">
        <v>191</v>
      </c>
      <c r="H3" t="s">
        <v>189</v>
      </c>
      <c r="J3" s="22" t="s">
        <v>762</v>
      </c>
      <c r="K3" s="22"/>
      <c r="L3" s="22"/>
    </row>
    <row r="4" spans="1:12">
      <c r="C4" t="s">
        <v>175</v>
      </c>
      <c r="J4" t="s">
        <v>718</v>
      </c>
      <c r="K4" t="s">
        <v>236</v>
      </c>
      <c r="L4" t="s">
        <v>716</v>
      </c>
    </row>
    <row r="5" spans="1:12">
      <c r="J5">
        <v>4</v>
      </c>
      <c r="K5">
        <v>3</v>
      </c>
      <c r="L5">
        <v>4</v>
      </c>
    </row>
    <row r="6" spans="1:12">
      <c r="A6">
        <v>15</v>
      </c>
      <c r="C6" t="s">
        <v>196</v>
      </c>
      <c r="D6">
        <f>VLOOKUP($A6,'Technology FEs table'!$A$2:$C$16,3)</f>
        <v>1788</v>
      </c>
      <c r="E6">
        <f>VLOOKUP($A6,'Estimates quality'!$B$2:$F$17,5,FALSE)</f>
        <v>62</v>
      </c>
      <c r="F6">
        <f>VLOOKUP($A6,'Estimates quality'!$B$2:$F$17,4,FALSE)</f>
        <v>51</v>
      </c>
      <c r="G6">
        <f>VLOOKUP($A6,'Estimates quality'!$B$2:$F$17,3,FALSE)</f>
        <v>0</v>
      </c>
      <c r="H6">
        <f>VLOOKUP($A6,'Estimates quality'!$B$2:$F$17,2,FALSE)</f>
        <v>11</v>
      </c>
      <c r="J6">
        <f t="shared" ref="J6:J12" si="0">VLOOKUP($A6,Rsquaredpt1,J$5,FALSE)</f>
        <v>51</v>
      </c>
      <c r="K6" s="14">
        <f t="shared" ref="K6:L12" si="1">VLOOKUP($A6,Rsquaredpt2,K$5,FALSE)</f>
        <v>0.7750127</v>
      </c>
      <c r="L6" s="14">
        <f t="shared" si="1"/>
        <v>0.19219259999999999</v>
      </c>
    </row>
    <row r="7" spans="1:12">
      <c r="A7">
        <v>7</v>
      </c>
      <c r="C7" t="s">
        <v>178</v>
      </c>
      <c r="D7">
        <f>VLOOKUP($A7,'Technology FEs table'!$A$2:$C$16,3)</f>
        <v>1825</v>
      </c>
      <c r="E7">
        <f>VLOOKUP($A7,'Estimates quality'!$B$2:$F$17,5,FALSE)</f>
        <v>80</v>
      </c>
      <c r="F7">
        <f>VLOOKUP($A7,'Estimates quality'!$B$2:$F$17,4,FALSE)</f>
        <v>60</v>
      </c>
      <c r="G7">
        <f>VLOOKUP($A7,'Estimates quality'!$B$2:$F$17,3,FALSE)</f>
        <v>3</v>
      </c>
      <c r="H7">
        <f>VLOOKUP($A7,'Estimates quality'!$B$2:$F$17,2,FALSE)</f>
        <v>17</v>
      </c>
      <c r="J7">
        <f t="shared" si="0"/>
        <v>40</v>
      </c>
      <c r="K7" s="14">
        <f t="shared" si="1"/>
        <v>0.50887649999999995</v>
      </c>
      <c r="L7" s="14">
        <f t="shared" si="1"/>
        <v>0.21134149999999999</v>
      </c>
    </row>
    <row r="8" spans="1:12">
      <c r="A8">
        <v>6</v>
      </c>
      <c r="C8" t="s">
        <v>179</v>
      </c>
      <c r="D8">
        <f>VLOOKUP($A8,'Technology FEs table'!$A$2:$C$16,3)</f>
        <v>1825</v>
      </c>
      <c r="E8">
        <f>VLOOKUP($A8,'Estimates quality'!$B$2:$F$17,5,FALSE)</f>
        <v>85</v>
      </c>
      <c r="F8">
        <f>VLOOKUP($A8,'Estimates quality'!$B$2:$F$17,4,FALSE)</f>
        <v>42</v>
      </c>
      <c r="G8">
        <f>VLOOKUP($A8,'Estimates quality'!$B$2:$F$17,3,FALSE)</f>
        <v>5</v>
      </c>
      <c r="H8">
        <f>VLOOKUP($A8,'Estimates quality'!$B$2:$F$17,2,FALSE)</f>
        <v>38</v>
      </c>
      <c r="J8">
        <f t="shared" si="0"/>
        <v>42</v>
      </c>
      <c r="K8" s="14">
        <f t="shared" si="1"/>
        <v>0.80205009999999999</v>
      </c>
      <c r="L8" s="14">
        <f t="shared" si="1"/>
        <v>0.1428807</v>
      </c>
    </row>
    <row r="9" spans="1:12">
      <c r="A9">
        <v>1</v>
      </c>
      <c r="C9" t="s">
        <v>180</v>
      </c>
      <c r="D9">
        <f>VLOOKUP($A9,'Technology FEs table'!$A$2:$C$16,3)</f>
        <v>1885</v>
      </c>
      <c r="E9">
        <f>VLOOKUP($A9,'Estimates quality'!$B$2:$F$17,5,FALSE)</f>
        <v>125</v>
      </c>
      <c r="F9">
        <f>VLOOKUP($A9,'Estimates quality'!$B$2:$F$17,4,FALSE)</f>
        <v>73</v>
      </c>
      <c r="G9">
        <f>VLOOKUP($A9,'Estimates quality'!$B$2:$F$17,3,FALSE)</f>
        <v>6</v>
      </c>
      <c r="H9">
        <f>VLOOKUP($A9,'Estimates quality'!$B$2:$F$17,2,FALSE)</f>
        <v>46</v>
      </c>
      <c r="J9">
        <f t="shared" si="0"/>
        <v>65</v>
      </c>
      <c r="K9" s="14">
        <f t="shared" si="1"/>
        <v>0.66937570000000002</v>
      </c>
      <c r="L9" s="14">
        <f t="shared" si="1"/>
        <v>0.23767959999999999</v>
      </c>
    </row>
    <row r="10" spans="1:12">
      <c r="A10">
        <v>4</v>
      </c>
      <c r="C10" t="s">
        <v>181</v>
      </c>
      <c r="D10">
        <f>VLOOKUP($A10,'Technology FEs table'!$A$2:$C$16,3)</f>
        <v>1885</v>
      </c>
      <c r="E10">
        <f>VLOOKUP($A10,'Estimates quality'!$B$2:$F$17,5,FALSE)</f>
        <v>109</v>
      </c>
      <c r="F10">
        <f>VLOOKUP($A10,'Estimates quality'!$B$2:$F$17,4,FALSE)</f>
        <v>58</v>
      </c>
      <c r="G10">
        <f>VLOOKUP($A10,'Estimates quality'!$B$2:$F$17,3,FALSE)</f>
        <v>4</v>
      </c>
      <c r="H10">
        <f>VLOOKUP($A10,'Estimates quality'!$B$2:$F$17,2,FALSE)</f>
        <v>47</v>
      </c>
      <c r="J10">
        <f t="shared" si="0"/>
        <v>52</v>
      </c>
      <c r="K10" s="14">
        <f t="shared" si="1"/>
        <v>0.66279429999999995</v>
      </c>
      <c r="L10" s="14">
        <f t="shared" si="1"/>
        <v>0.24588080000000001</v>
      </c>
    </row>
    <row r="11" spans="1:12">
      <c r="A11">
        <v>11</v>
      </c>
      <c r="C11" t="s">
        <v>176</v>
      </c>
      <c r="D11">
        <f>VLOOKUP($A11,'Technology FEs table'!$A$2:$C$16,3)</f>
        <v>1903</v>
      </c>
      <c r="E11">
        <f>VLOOKUP($A11,'Estimates quality'!$B$2:$F$17,5,FALSE)</f>
        <v>97</v>
      </c>
      <c r="F11">
        <f>VLOOKUP($A11,'Estimates quality'!$B$2:$F$17,4,FALSE)</f>
        <v>50</v>
      </c>
      <c r="G11">
        <f>VLOOKUP($A11,'Estimates quality'!$B$2:$F$17,3,FALSE)</f>
        <v>3</v>
      </c>
      <c r="H11">
        <f>VLOOKUP($A11,'Estimates quality'!$B$2:$F$17,2,FALSE)</f>
        <v>44</v>
      </c>
      <c r="J11">
        <f t="shared" si="0"/>
        <v>50</v>
      </c>
      <c r="K11" s="14">
        <f t="shared" si="1"/>
        <v>0.89822190000000002</v>
      </c>
      <c r="L11" s="14">
        <f t="shared" si="1"/>
        <v>6.9983900000000002E-2</v>
      </c>
    </row>
    <row r="12" spans="1:12">
      <c r="A12">
        <v>10</v>
      </c>
      <c r="C12" t="s">
        <v>177</v>
      </c>
      <c r="D12">
        <f>VLOOKUP($A12,'Technology FEs table'!$A$2:$C$16,3)</f>
        <v>1903</v>
      </c>
      <c r="E12">
        <f>VLOOKUP($A12,'Estimates quality'!$B$2:$F$17,5,FALSE)</f>
        <v>94</v>
      </c>
      <c r="F12">
        <f>VLOOKUP($A12,'Estimates quality'!$B$2:$F$17,4,FALSE)</f>
        <v>30</v>
      </c>
      <c r="G12">
        <f>VLOOKUP($A12,'Estimates quality'!$B$2:$F$17,3,FALSE)</f>
        <v>4</v>
      </c>
      <c r="H12">
        <f>VLOOKUP($A12,'Estimates quality'!$B$2:$F$17,2,FALSE)</f>
        <v>60</v>
      </c>
      <c r="J12">
        <f t="shared" si="0"/>
        <v>30</v>
      </c>
      <c r="K12" s="14">
        <f t="shared" si="1"/>
        <v>0.87574350000000001</v>
      </c>
      <c r="L12" s="14">
        <f t="shared" si="1"/>
        <v>9.2248300000000005E-2</v>
      </c>
    </row>
    <row r="13" spans="1:12">
      <c r="K13" s="14"/>
      <c r="L13" s="14"/>
    </row>
    <row r="14" spans="1:12">
      <c r="A14">
        <v>8</v>
      </c>
      <c r="C14" t="s">
        <v>183</v>
      </c>
      <c r="D14">
        <f>VLOOKUP($A14,'Technology FEs table'!$A$2:$C$16,3)</f>
        <v>1835</v>
      </c>
      <c r="E14">
        <f>VLOOKUP($A14,'Estimates quality'!$B$2:$F$17,5,FALSE)</f>
        <v>67</v>
      </c>
      <c r="F14">
        <f>VLOOKUP($A14,'Estimates quality'!$B$2:$F$17,4,FALSE)</f>
        <v>44</v>
      </c>
      <c r="G14">
        <f>VLOOKUP($A14,'Estimates quality'!$B$2:$F$17,3,FALSE)</f>
        <v>8</v>
      </c>
      <c r="H14">
        <f>VLOOKUP($A14,'Estimates quality'!$B$2:$F$17,2,FALSE)</f>
        <v>15</v>
      </c>
      <c r="J14">
        <f>VLOOKUP($A14,Rsquaredpt1,J$5,FALSE)</f>
        <v>31</v>
      </c>
      <c r="K14" s="14">
        <f t="shared" ref="K14:L16" si="2">VLOOKUP($A14,Rsquaredpt2,K$5,FALSE)</f>
        <v>0.59713959999999999</v>
      </c>
      <c r="L14" s="14">
        <f t="shared" si="2"/>
        <v>0.21900339999999999</v>
      </c>
    </row>
    <row r="15" spans="1:12">
      <c r="A15">
        <v>9</v>
      </c>
      <c r="C15" t="s">
        <v>182</v>
      </c>
      <c r="D15">
        <f>VLOOKUP($A15,'Technology FEs table'!$A$2:$C$16,3)</f>
        <v>1876</v>
      </c>
      <c r="E15">
        <f>VLOOKUP($A15,'Estimates quality'!$B$2:$F$17,5,FALSE)</f>
        <v>142</v>
      </c>
      <c r="F15">
        <f>VLOOKUP($A15,'Estimates quality'!$B$2:$F$17,4,FALSE)</f>
        <v>64</v>
      </c>
      <c r="G15">
        <f>VLOOKUP($A15,'Estimates quality'!$B$2:$F$17,3,FALSE)</f>
        <v>12</v>
      </c>
      <c r="H15">
        <f>VLOOKUP($A15,'Estimates quality'!$B$2:$F$17,2,FALSE)</f>
        <v>66</v>
      </c>
      <c r="J15">
        <f>VLOOKUP($A15,Rsquaredpt1,J$5,FALSE)</f>
        <v>62</v>
      </c>
      <c r="K15" s="14">
        <f t="shared" si="2"/>
        <v>0.84713559999999999</v>
      </c>
      <c r="L15" s="14">
        <f t="shared" si="2"/>
        <v>0.13321569999999999</v>
      </c>
    </row>
    <row r="16" spans="1:12">
      <c r="A16">
        <v>12</v>
      </c>
      <c r="C16" t="s">
        <v>216</v>
      </c>
      <c r="D16">
        <f>VLOOKUP($A16,'Technology FEs table'!$A$2:$C$16,3)</f>
        <v>1973</v>
      </c>
      <c r="E16">
        <f>VLOOKUP($A16,'Estimates quality'!$B$2:$F$17,5,FALSE)</f>
        <v>85</v>
      </c>
      <c r="F16">
        <f>VLOOKUP($A16,'Estimates quality'!$B$2:$F$17,4,FALSE)</f>
        <v>83</v>
      </c>
      <c r="G16">
        <f>VLOOKUP($A16,'Estimates quality'!$B$2:$F$17,3,FALSE)</f>
        <v>2</v>
      </c>
      <c r="H16">
        <f>VLOOKUP($A16,'Estimates quality'!$B$2:$F$17,2,FALSE)</f>
        <v>0</v>
      </c>
      <c r="J16">
        <f>VLOOKUP($A16,Rsquaredpt1,J$5,FALSE)</f>
        <v>83</v>
      </c>
      <c r="K16" s="14">
        <f t="shared" si="2"/>
        <v>0.90372430000000004</v>
      </c>
      <c r="L16" s="14">
        <f t="shared" si="2"/>
        <v>7.1557899999999994E-2</v>
      </c>
    </row>
    <row r="17" spans="1:12">
      <c r="K17" s="14"/>
      <c r="L17" s="14"/>
    </row>
    <row r="18" spans="1:12">
      <c r="A18">
        <v>2</v>
      </c>
      <c r="C18" t="s">
        <v>187</v>
      </c>
      <c r="D18">
        <f>VLOOKUP($A18,'Technology FEs table'!$A$2:$C$16,3)</f>
        <v>1973</v>
      </c>
      <c r="E18">
        <f>VLOOKUP($A18,'Estimates quality'!$B$2:$F$17,5,FALSE)</f>
        <v>71</v>
      </c>
      <c r="F18">
        <f>VLOOKUP($A18,'Estimates quality'!$B$2:$F$17,4,FALSE)</f>
        <v>70</v>
      </c>
      <c r="G18">
        <f>VLOOKUP($A18,'Estimates quality'!$B$2:$F$17,3,FALSE)</f>
        <v>0</v>
      </c>
      <c r="H18">
        <f>VLOOKUP($A18,'Estimates quality'!$B$2:$F$17,2,FALSE)</f>
        <v>1</v>
      </c>
      <c r="J18">
        <f>VLOOKUP($A18,Rsquaredpt1,J$5,FALSE)</f>
        <v>70</v>
      </c>
      <c r="K18" s="14">
        <f>VLOOKUP($A18,Rsquaredpt2,K$5,FALSE)</f>
        <v>0.92268680000000003</v>
      </c>
      <c r="L18" s="14">
        <f>VLOOKUP($A18,Rsquaredpt2,L$5,FALSE)</f>
        <v>6.8354200000000004E-2</v>
      </c>
    </row>
    <row r="19" spans="1:12">
      <c r="A19">
        <v>13</v>
      </c>
      <c r="C19" t="s">
        <v>195</v>
      </c>
      <c r="D19">
        <f>VLOOKUP($A19,'Technology FEs table'!$A$2:$C$16,3)</f>
        <v>1983</v>
      </c>
      <c r="E19">
        <f>VLOOKUP($A19,'Estimates quality'!$B$2:$F$17,5,FALSE)</f>
        <v>60</v>
      </c>
      <c r="F19">
        <f>VLOOKUP($A19,'Estimates quality'!$B$2:$F$17,4,FALSE)</f>
        <v>60</v>
      </c>
      <c r="G19">
        <f>VLOOKUP($A19,'Estimates quality'!$B$2:$F$17,3,FALSE)</f>
        <v>0</v>
      </c>
      <c r="H19">
        <f>VLOOKUP($A19,'Estimates quality'!$B$2:$F$17,2,FALSE)</f>
        <v>0</v>
      </c>
      <c r="J19">
        <f>VLOOKUP($A19,Rsquaredpt1,J$5,FALSE)</f>
        <v>60</v>
      </c>
      <c r="K19" s="14">
        <f>VLOOKUP($A19,Rsquaredpt2,K$5,FALSE)</f>
        <v>0.9409904</v>
      </c>
      <c r="L19" s="14">
        <f>VLOOKUP($A19,Rsquaredpt2,L$5,FALSE)</f>
        <v>5.1032300000000003E-2</v>
      </c>
    </row>
    <row r="20" spans="1:12">
      <c r="K20" s="14"/>
      <c r="L20" s="14"/>
    </row>
    <row r="21" spans="1:12">
      <c r="A21">
        <v>14</v>
      </c>
      <c r="C21" t="s">
        <v>741</v>
      </c>
      <c r="D21">
        <f>VLOOKUP($A21,'Technology FEs table'!$A$2:$C$16,3)</f>
        <v>1977</v>
      </c>
      <c r="E21">
        <f>VLOOKUP($A21,'Estimates quality'!$B$2:$F$17,5,FALSE)</f>
        <v>12</v>
      </c>
      <c r="F21">
        <f>VLOOKUP($A21,'Estimates quality'!$B$2:$F$17,4,FALSE)</f>
        <v>12</v>
      </c>
      <c r="G21">
        <f>VLOOKUP($A21,'Estimates quality'!$B$2:$F$17,3,FALSE)</f>
        <v>0</v>
      </c>
      <c r="H21">
        <f>VLOOKUP($A21,'Estimates quality'!$B$2:$F$17,2,FALSE)</f>
        <v>0</v>
      </c>
      <c r="J21">
        <f>VLOOKUP($A21,Rsquaredpt1,J$5,FALSE)</f>
        <v>12</v>
      </c>
      <c r="K21" s="14">
        <f>VLOOKUP($A21,Rsquaredpt2,K$5,FALSE)</f>
        <v>0.946739</v>
      </c>
      <c r="L21" s="14">
        <f>VLOOKUP($A21,Rsquaredpt2,L$5,FALSE)</f>
        <v>4.7867199999999999E-2</v>
      </c>
    </row>
    <row r="22" spans="1:12">
      <c r="K22" s="14"/>
      <c r="L22" s="14"/>
    </row>
    <row r="23" spans="1:12">
      <c r="A23">
        <v>5</v>
      </c>
      <c r="C23" t="s">
        <v>185</v>
      </c>
      <c r="D23">
        <f>VLOOKUP($A23,'Technology FEs table'!$A$2:$C$16,3)</f>
        <v>1950</v>
      </c>
      <c r="E23">
        <f>VLOOKUP($A23,'Estimates quality'!$B$2:$F$17,5,FALSE)</f>
        <v>52</v>
      </c>
      <c r="F23">
        <f>VLOOKUP($A23,'Estimates quality'!$B$2:$F$17,4,FALSE)</f>
        <v>39</v>
      </c>
      <c r="G23">
        <f>VLOOKUP($A23,'Estimates quality'!$B$2:$F$17,3,FALSE)</f>
        <v>3</v>
      </c>
      <c r="H23">
        <f>VLOOKUP($A23,'Estimates quality'!$B$2:$F$17,2,FALSE)</f>
        <v>10</v>
      </c>
      <c r="J23">
        <f>VLOOKUP($A23,Rsquaredpt1,J$5,FALSE)</f>
        <v>32</v>
      </c>
      <c r="K23" s="14">
        <f>VLOOKUP($A23,Rsquaredpt2,K$5,FALSE)</f>
        <v>0.64281379999999999</v>
      </c>
      <c r="L23" s="14">
        <f>VLOOKUP($A23,Rsquaredpt2,L$5,FALSE)</f>
        <v>0.27471020000000002</v>
      </c>
    </row>
    <row r="24" spans="1:12">
      <c r="K24" s="14"/>
      <c r="L24" s="14"/>
    </row>
    <row r="25" spans="1:12">
      <c r="A25">
        <v>3</v>
      </c>
      <c r="C25" t="s">
        <v>186</v>
      </c>
      <c r="D25">
        <f>VLOOKUP($A25,'Technology FEs table'!$A$2:$C$16,3)</f>
        <v>1882</v>
      </c>
      <c r="E25">
        <f>VLOOKUP($A25,'Estimates quality'!$B$2:$F$17,5,FALSE)</f>
        <v>137</v>
      </c>
      <c r="F25">
        <f>VLOOKUP($A25,'Estimates quality'!$B$2:$F$17,4,FALSE)</f>
        <v>94</v>
      </c>
      <c r="G25">
        <f>VLOOKUP($A25,'Estimates quality'!$B$2:$F$17,3,FALSE)</f>
        <v>2</v>
      </c>
      <c r="H25">
        <f>VLOOKUP($A25,'Estimates quality'!$B$2:$F$17,2,FALSE)</f>
        <v>41</v>
      </c>
      <c r="J25">
        <f>VLOOKUP($A25,Rsquaredpt1,J$5,FALSE)</f>
        <v>94</v>
      </c>
      <c r="K25" s="14">
        <f>VLOOKUP($A25,Rsquaredpt2,K$5,FALSE)</f>
        <v>0.91312519999999997</v>
      </c>
      <c r="L25" s="14">
        <f>VLOOKUP($A25,Rsquaredpt2,L$5,FALSE)</f>
        <v>0.1052429</v>
      </c>
    </row>
    <row r="26" spans="1:12">
      <c r="K26" s="14"/>
      <c r="L26" s="14"/>
    </row>
    <row r="27" spans="1:12">
      <c r="A27">
        <v>16</v>
      </c>
      <c r="C27" t="s">
        <v>250</v>
      </c>
      <c r="E27">
        <f>VLOOKUP($A27,'Estimates quality'!$B$2:$F$17,5,FALSE)</f>
        <v>1278</v>
      </c>
      <c r="F27">
        <f>VLOOKUP($A27,'Estimates quality'!$B$2:$F$17,4,FALSE)</f>
        <v>830</v>
      </c>
      <c r="G27">
        <f>VLOOKUP($A27,'Estimates quality'!$B$2:$F$17,3,FALSE)</f>
        <v>52</v>
      </c>
      <c r="H27">
        <f>VLOOKUP($A27,'Estimates quality'!$B$2:$F$17,2,FALSE)</f>
        <v>396</v>
      </c>
      <c r="J27">
        <f>VLOOKUP($A27,Rsquaredpt1,J$5,FALSE)</f>
        <v>774</v>
      </c>
      <c r="K27" s="14">
        <f>VLOOKUP($A27,Rsquaredpt2,K$5,FALSE)</f>
        <v>0.81082679999999996</v>
      </c>
      <c r="L27" s="14">
        <f>VLOOKUP($A27,Rsquaredpt2,L$5,FALSE)</f>
        <v>0.20123199999999999</v>
      </c>
    </row>
  </sheetData>
  <mergeCells count="1">
    <mergeCell ref="J3:L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 enableFormatConditionsCalculation="0">
    <tabColor indexed="11"/>
    <pageSetUpPr fitToPage="1"/>
  </sheetPr>
  <dimension ref="A1:Q28"/>
  <sheetViews>
    <sheetView workbookViewId="0">
      <selection activeCell="I40" sqref="I40"/>
    </sheetView>
  </sheetViews>
  <sheetFormatPr defaultRowHeight="12.75"/>
  <cols>
    <col min="2" max="2" width="4.7109375" customWidth="1"/>
    <col min="3" max="3" width="20.7109375" customWidth="1"/>
    <col min="4" max="5" width="9.140625" style="3"/>
    <col min="6" max="6" width="3.140625" style="3" customWidth="1"/>
    <col min="14" max="14" width="3" customWidth="1"/>
  </cols>
  <sheetData>
    <row r="1" spans="1:17">
      <c r="E1" s="3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O1">
        <v>4</v>
      </c>
      <c r="P1">
        <v>3</v>
      </c>
      <c r="Q1">
        <v>4</v>
      </c>
    </row>
    <row r="3" spans="1:17">
      <c r="G3" s="23" t="s">
        <v>725</v>
      </c>
      <c r="H3" s="23"/>
      <c r="I3" s="23"/>
      <c r="J3" s="23"/>
      <c r="K3" s="23"/>
      <c r="L3" s="23"/>
      <c r="M3" s="23"/>
      <c r="N3" s="3"/>
      <c r="O3" s="23" t="s">
        <v>726</v>
      </c>
      <c r="P3" s="23"/>
      <c r="Q3" s="23"/>
    </row>
    <row r="4" spans="1:17">
      <c r="A4" t="s">
        <v>173</v>
      </c>
      <c r="C4" t="s">
        <v>174</v>
      </c>
      <c r="D4" s="3" t="s">
        <v>188</v>
      </c>
      <c r="E4" s="3" t="s">
        <v>235</v>
      </c>
      <c r="G4" s="9" t="s">
        <v>236</v>
      </c>
      <c r="H4" s="9" t="s">
        <v>716</v>
      </c>
      <c r="I4" s="9" t="s">
        <v>238</v>
      </c>
      <c r="J4" s="9" t="s">
        <v>239</v>
      </c>
      <c r="K4" s="9" t="s">
        <v>240</v>
      </c>
      <c r="L4" s="9" t="s">
        <v>241</v>
      </c>
      <c r="M4" s="9" t="s">
        <v>242</v>
      </c>
      <c r="N4" s="9"/>
      <c r="O4" s="9" t="s">
        <v>717</v>
      </c>
      <c r="P4" s="9" t="s">
        <v>236</v>
      </c>
      <c r="Q4" s="9" t="s">
        <v>716</v>
      </c>
    </row>
    <row r="5" spans="1:17">
      <c r="C5" t="s">
        <v>175</v>
      </c>
    </row>
    <row r="7" spans="1:17">
      <c r="A7">
        <v>15</v>
      </c>
      <c r="C7" t="s">
        <v>196</v>
      </c>
      <c r="D7" s="3">
        <f>VLOOKUP($A7,'Technology FEs table'!$A$2:$C$16,3)</f>
        <v>1788</v>
      </c>
      <c r="E7" s="8">
        <f>VLOOKUP($A7,'Technology sum stats table'!$B$2:$J$17,E$1)</f>
        <v>51</v>
      </c>
      <c r="F7" s="8"/>
      <c r="G7" s="16">
        <f>VLOOKUP($A7,'Technology sum stats table'!$B$2:$J$17,G$1)</f>
        <v>120.4513</v>
      </c>
      <c r="H7" s="16">
        <f>VLOOKUP($A7,'Technology sum stats table'!$B$2:$J$17,H$1)</f>
        <v>51.070140000000002</v>
      </c>
      <c r="I7" s="16">
        <f>VLOOKUP($A7,'Technology sum stats table'!$B$2:$J$17,I$1)</f>
        <v>29.708010000000002</v>
      </c>
      <c r="J7" s="16">
        <f>VLOOKUP($A7,'Technology sum stats table'!$B$2:$J$17,J$1)</f>
        <v>56.953980000000001</v>
      </c>
      <c r="K7" s="16">
        <f>VLOOKUP($A7,'Technology sum stats table'!$B$2:$J$17,K$1)</f>
        <v>122.52800000000001</v>
      </c>
      <c r="L7" s="16">
        <f>VLOOKUP($A7,'Technology sum stats table'!$B$2:$J$17,L$1)</f>
        <v>178.77699999999999</v>
      </c>
      <c r="M7" s="16">
        <f>VLOOKUP($A7,'Technology sum stats table'!$B$2:$J$17,M$1)</f>
        <v>179.7159</v>
      </c>
      <c r="N7" s="7"/>
      <c r="O7">
        <f>VLOOKUP($A7,'Technology R2s'!$A$2:$E$17,O$1,FALSE)</f>
        <v>51</v>
      </c>
      <c r="P7" s="14">
        <f>VLOOKUP($A7,'Technology R2s'!$A$20:$I$35,P$1,FALSE)</f>
        <v>0.7750127</v>
      </c>
      <c r="Q7" s="14">
        <f>VLOOKUP($A7,'Technology R2s'!$A$20:$I$35,Q$1,FALSE)</f>
        <v>0.19219259999999999</v>
      </c>
    </row>
    <row r="8" spans="1:17">
      <c r="A8">
        <v>7</v>
      </c>
      <c r="C8" t="s">
        <v>178</v>
      </c>
      <c r="D8" s="3">
        <f>VLOOKUP($A8,'Technology FEs table'!$A$2:$C$16,3)</f>
        <v>1825</v>
      </c>
      <c r="E8" s="8">
        <f>VLOOKUP($A8,'Technology sum stats table'!$B$2:$J$17,E$1)</f>
        <v>60</v>
      </c>
      <c r="F8" s="8"/>
      <c r="G8" s="16">
        <f>VLOOKUP($A8,'Technology sum stats table'!$B$2:$J$17,G$1)</f>
        <v>97.318770000000001</v>
      </c>
      <c r="H8" s="16">
        <f>VLOOKUP($A8,'Technology sum stats table'!$B$2:$J$17,H$1)</f>
        <v>26.42774</v>
      </c>
      <c r="I8" s="16">
        <f>VLOOKUP($A8,'Technology sum stats table'!$B$2:$J$17,I$1)</f>
        <v>24.979980000000001</v>
      </c>
      <c r="J8" s="16">
        <f>VLOOKUP($A8,'Technology sum stats table'!$B$2:$J$17,J$1)</f>
        <v>59.901609999999998</v>
      </c>
      <c r="K8" s="16">
        <f>VLOOKUP($A8,'Technology sum stats table'!$B$2:$J$17,K$1)</f>
        <v>100.96420000000001</v>
      </c>
      <c r="L8" s="16">
        <f>VLOOKUP($A8,'Technology sum stats table'!$B$2:$J$17,L$1)</f>
        <v>124.70140000000001</v>
      </c>
      <c r="M8" s="16">
        <f>VLOOKUP($A8,'Technology sum stats table'!$B$2:$J$17,M$1)</f>
        <v>137.28579999999999</v>
      </c>
      <c r="N8" s="7"/>
      <c r="O8">
        <f>VLOOKUP($A8,'Technology R2s'!$A$2:$E$17,O$1,FALSE)</f>
        <v>40</v>
      </c>
      <c r="P8" s="14">
        <f>VLOOKUP($A8,'Technology R2s'!$A$20:$I$35,P$1,FALSE)</f>
        <v>0.50887649999999995</v>
      </c>
      <c r="Q8" s="14">
        <f>VLOOKUP($A8,'Technology R2s'!$A$20:$I$35,Q$1,FALSE)</f>
        <v>0.21134149999999999</v>
      </c>
    </row>
    <row r="9" spans="1:17">
      <c r="A9">
        <v>6</v>
      </c>
      <c r="C9" t="s">
        <v>179</v>
      </c>
      <c r="D9" s="3">
        <f>VLOOKUP($A9,'Technology FEs table'!$A$2:$C$16,3)</f>
        <v>1825</v>
      </c>
      <c r="E9" s="8">
        <f>VLOOKUP($A9,'Technology sum stats table'!$B$2:$J$17,E$1)</f>
        <v>42</v>
      </c>
      <c r="F9" s="8"/>
      <c r="G9" s="16">
        <f>VLOOKUP($A9,'Technology sum stats table'!$B$2:$J$17,G$1)</f>
        <v>79.594269999999995</v>
      </c>
      <c r="H9" s="16">
        <f>VLOOKUP($A9,'Technology sum stats table'!$B$2:$J$17,H$1)</f>
        <v>32.665019999999998</v>
      </c>
      <c r="I9" s="16">
        <f>VLOOKUP($A9,'Technology sum stats table'!$B$2:$J$17,I$1)</f>
        <v>24.91797</v>
      </c>
      <c r="J9" s="16">
        <f>VLOOKUP($A9,'Technology sum stats table'!$B$2:$J$17,J$1)</f>
        <v>30.933229999999998</v>
      </c>
      <c r="K9" s="16">
        <f>VLOOKUP($A9,'Technology sum stats table'!$B$2:$J$17,K$1)</f>
        <v>78.993470000000002</v>
      </c>
      <c r="L9" s="16">
        <f>VLOOKUP($A9,'Technology sum stats table'!$B$2:$J$17,L$1)</f>
        <v>122.95099999999999</v>
      </c>
      <c r="M9" s="16">
        <f>VLOOKUP($A9,'Technology sum stats table'!$B$2:$J$17,M$1)</f>
        <v>134.53540000000001</v>
      </c>
      <c r="N9" s="7"/>
      <c r="O9">
        <f>VLOOKUP($A9,'Technology R2s'!$A$2:$E$17,O$1,FALSE)</f>
        <v>42</v>
      </c>
      <c r="P9" s="14">
        <f>VLOOKUP($A9,'Technology R2s'!$A$20:$I$35,P$1,FALSE)</f>
        <v>0.80205009999999999</v>
      </c>
      <c r="Q9" s="14">
        <f>VLOOKUP($A9,'Technology R2s'!$A$20:$I$35,Q$1,FALSE)</f>
        <v>0.1428807</v>
      </c>
    </row>
    <row r="10" spans="1:17">
      <c r="A10">
        <v>1</v>
      </c>
      <c r="C10" t="s">
        <v>180</v>
      </c>
      <c r="D10" s="3">
        <f>VLOOKUP($A10,'Technology FEs table'!$A$2:$C$16,3)</f>
        <v>1885</v>
      </c>
      <c r="E10" s="8">
        <f>VLOOKUP($A10,'Technology sum stats table'!$B$2:$J$17,E$1)</f>
        <v>73</v>
      </c>
      <c r="F10" s="8"/>
      <c r="G10" s="16">
        <f>VLOOKUP($A10,'Technology sum stats table'!$B$2:$J$17,G$1)</f>
        <v>43.682079999999999</v>
      </c>
      <c r="H10" s="16">
        <f>VLOOKUP($A10,'Technology sum stats table'!$B$2:$J$17,H$1)</f>
        <v>19.085319999999999</v>
      </c>
      <c r="I10" s="16">
        <f>VLOOKUP($A10,'Technology sum stats table'!$B$2:$J$17,I$1)</f>
        <v>9.6558840000000004</v>
      </c>
      <c r="J10" s="16">
        <f>VLOOKUP($A10,'Technology sum stats table'!$B$2:$J$17,J$1)</f>
        <v>18.77844</v>
      </c>
      <c r="K10" s="16">
        <f>VLOOKUP($A10,'Technology sum stats table'!$B$2:$J$17,K$1)</f>
        <v>44.193600000000004</v>
      </c>
      <c r="L10" s="16">
        <f>VLOOKUP($A10,'Technology sum stats table'!$B$2:$J$17,L$1)</f>
        <v>64.675539999999998</v>
      </c>
      <c r="M10" s="16">
        <f>VLOOKUP($A10,'Technology sum stats table'!$B$2:$J$17,M$1)</f>
        <v>101.8546</v>
      </c>
      <c r="N10" s="7"/>
      <c r="O10">
        <f>VLOOKUP($A10,'Technology R2s'!$A$2:$E$17,O$1,FALSE)</f>
        <v>65</v>
      </c>
      <c r="P10" s="14">
        <f>VLOOKUP($A10,'Technology R2s'!$A$20:$I$35,P$1,FALSE)</f>
        <v>0.66937570000000002</v>
      </c>
      <c r="Q10" s="14">
        <f>VLOOKUP($A10,'Technology R2s'!$A$20:$I$35,Q$1,FALSE)</f>
        <v>0.23767959999999999</v>
      </c>
    </row>
    <row r="11" spans="1:17">
      <c r="A11">
        <v>4</v>
      </c>
      <c r="C11" t="s">
        <v>181</v>
      </c>
      <c r="D11" s="3">
        <f>VLOOKUP($A11,'Technology FEs table'!$A$2:$C$16,3)</f>
        <v>1885</v>
      </c>
      <c r="E11" s="8">
        <f>VLOOKUP($A11,'Technology sum stats table'!$B$2:$J$17,E$1)</f>
        <v>58</v>
      </c>
      <c r="F11" s="8"/>
      <c r="G11" s="16">
        <f>VLOOKUP($A11,'Technology sum stats table'!$B$2:$J$17,G$1)</f>
        <v>39.12677</v>
      </c>
      <c r="H11" s="16">
        <f>VLOOKUP($A11,'Technology sum stats table'!$B$2:$J$17,H$1)</f>
        <v>19.7667</v>
      </c>
      <c r="I11" s="16">
        <f>VLOOKUP($A11,'Technology sum stats table'!$B$2:$J$17,I$1)</f>
        <v>4.1234130000000002</v>
      </c>
      <c r="J11" s="16">
        <f>VLOOKUP($A11,'Technology sum stats table'!$B$2:$J$17,J$1)</f>
        <v>16.029910000000001</v>
      </c>
      <c r="K11" s="16">
        <f>VLOOKUP($A11,'Technology sum stats table'!$B$2:$J$17,K$1)</f>
        <v>35.209470000000003</v>
      </c>
      <c r="L11" s="16">
        <f>VLOOKUP($A11,'Technology sum stats table'!$B$2:$J$17,L$1)</f>
        <v>64.433109999999999</v>
      </c>
      <c r="M11" s="16">
        <f>VLOOKUP($A11,'Technology sum stats table'!$B$2:$J$17,M$1)</f>
        <v>89.182249999999996</v>
      </c>
      <c r="N11" s="7"/>
      <c r="O11">
        <f>VLOOKUP($A11,'Technology R2s'!$A$2:$E$17,O$1,FALSE)</f>
        <v>52</v>
      </c>
      <c r="P11" s="14">
        <f>VLOOKUP($A11,'Technology R2s'!$A$20:$I$35,P$1,FALSE)</f>
        <v>0.66279429999999995</v>
      </c>
      <c r="Q11" s="14">
        <f>VLOOKUP($A11,'Technology R2s'!$A$20:$I$35,Q$1,FALSE)</f>
        <v>0.24588080000000001</v>
      </c>
    </row>
    <row r="12" spans="1:17">
      <c r="A12">
        <v>11</v>
      </c>
      <c r="C12" t="s">
        <v>176</v>
      </c>
      <c r="D12" s="3">
        <f>VLOOKUP($A12,'Technology FEs table'!$A$2:$C$16,3)</f>
        <v>1903</v>
      </c>
      <c r="E12" s="8">
        <f>VLOOKUP($A12,'Technology sum stats table'!$B$2:$J$17,E$1)</f>
        <v>50</v>
      </c>
      <c r="F12" s="8"/>
      <c r="G12" s="16">
        <f>VLOOKUP($A12,'Technology sum stats table'!$B$2:$J$17,G$1)</f>
        <v>33.896279999999997</v>
      </c>
      <c r="H12" s="16">
        <f>VLOOKUP($A12,'Technology sum stats table'!$B$2:$J$17,H$1)</f>
        <v>12.27155</v>
      </c>
      <c r="I12" s="16">
        <f>VLOOKUP($A12,'Technology sum stats table'!$B$2:$J$17,I$1)</f>
        <v>16.807130000000001</v>
      </c>
      <c r="J12" s="16">
        <f>VLOOKUP($A12,'Technology sum stats table'!$B$2:$J$17,J$1)</f>
        <v>21.124690000000001</v>
      </c>
      <c r="K12" s="16">
        <f>VLOOKUP($A12,'Technology sum stats table'!$B$2:$J$17,K$1)</f>
        <v>29.239260000000002</v>
      </c>
      <c r="L12" s="16">
        <f>VLOOKUP($A12,'Technology sum stats table'!$B$2:$J$17,L$1)</f>
        <v>52.876100000000001</v>
      </c>
      <c r="M12" s="16">
        <f>VLOOKUP($A12,'Technology sum stats table'!$B$2:$J$17,M$1)</f>
        <v>71.58972</v>
      </c>
      <c r="N12" s="7"/>
      <c r="O12">
        <f>VLOOKUP($A12,'Technology R2s'!$A$2:$E$17,O$1,FALSE)</f>
        <v>50</v>
      </c>
      <c r="P12" s="14">
        <f>VLOOKUP($A12,'Technology R2s'!$A$20:$I$35,P$1,FALSE)</f>
        <v>0.89822190000000002</v>
      </c>
      <c r="Q12" s="14">
        <f>VLOOKUP($A12,'Technology R2s'!$A$20:$I$35,Q$1,FALSE)</f>
        <v>6.9983900000000002E-2</v>
      </c>
    </row>
    <row r="13" spans="1:17">
      <c r="A13">
        <v>10</v>
      </c>
      <c r="C13" t="s">
        <v>177</v>
      </c>
      <c r="D13" s="3">
        <f>VLOOKUP($A13,'Technology FEs table'!$A$2:$C$16,3)</f>
        <v>1903</v>
      </c>
      <c r="E13" s="8">
        <f>VLOOKUP($A13,'Technology sum stats table'!$B$2:$J$17,E$1)</f>
        <v>30</v>
      </c>
      <c r="F13" s="8"/>
      <c r="G13" s="16">
        <f>VLOOKUP($A13,'Technology sum stats table'!$B$2:$J$17,G$1)</f>
        <v>43.489849999999997</v>
      </c>
      <c r="H13" s="16">
        <f>VLOOKUP($A13,'Technology sum stats table'!$B$2:$J$17,H$1)</f>
        <v>13.530200000000001</v>
      </c>
      <c r="I13" s="16">
        <f>VLOOKUP($A13,'Technology sum stats table'!$B$2:$J$17,I$1)</f>
        <v>11.957280000000001</v>
      </c>
      <c r="J13" s="16">
        <f>VLOOKUP($A13,'Technology sum stats table'!$B$2:$J$17,J$1)</f>
        <v>24.44659</v>
      </c>
      <c r="K13" s="16">
        <f>VLOOKUP($A13,'Technology sum stats table'!$B$2:$J$17,K$1)</f>
        <v>41.793030000000002</v>
      </c>
      <c r="L13" s="16">
        <f>VLOOKUP($A13,'Technology sum stats table'!$B$2:$J$17,L$1)</f>
        <v>60.807980000000001</v>
      </c>
      <c r="M13" s="16">
        <f>VLOOKUP($A13,'Technology sum stats table'!$B$2:$J$17,M$1)</f>
        <v>73.953860000000006</v>
      </c>
      <c r="N13" s="7"/>
      <c r="O13">
        <f>VLOOKUP($A13,'Technology R2s'!$A$2:$E$17,O$1,FALSE)</f>
        <v>30</v>
      </c>
      <c r="P13" s="14">
        <f>VLOOKUP($A13,'Technology R2s'!$A$20:$I$35,P$1,FALSE)</f>
        <v>0.87574350000000001</v>
      </c>
      <c r="Q13" s="14">
        <f>VLOOKUP($A13,'Technology R2s'!$A$20:$I$35,Q$1,FALSE)</f>
        <v>9.2248300000000005E-2</v>
      </c>
    </row>
    <row r="14" spans="1:17">
      <c r="E14" s="8"/>
      <c r="F14" s="8"/>
      <c r="G14" s="16"/>
      <c r="H14" s="16"/>
      <c r="I14" s="16"/>
      <c r="J14" s="16"/>
      <c r="K14" s="16"/>
      <c r="L14" s="16"/>
      <c r="M14" s="16"/>
      <c r="N14" s="7"/>
      <c r="P14" s="14"/>
      <c r="Q14" s="14"/>
    </row>
    <row r="15" spans="1:17">
      <c r="A15">
        <v>8</v>
      </c>
      <c r="C15" t="s">
        <v>183</v>
      </c>
      <c r="D15" s="3">
        <f>VLOOKUP($A15,'Technology FEs table'!$A$2:$C$16,3)</f>
        <v>1835</v>
      </c>
      <c r="E15" s="8">
        <f>VLOOKUP($A15,'Technology sum stats table'!$B$2:$J$17,E$1)</f>
        <v>44</v>
      </c>
      <c r="F15" s="8"/>
      <c r="G15" s="16">
        <f>VLOOKUP($A15,'Technology sum stats table'!$B$2:$J$17,G$1)</f>
        <v>45.6143</v>
      </c>
      <c r="H15" s="16">
        <f>VLOOKUP($A15,'Technology sum stats table'!$B$2:$J$17,H$1)</f>
        <v>31.058890000000002</v>
      </c>
      <c r="I15" s="16">
        <f>VLOOKUP($A15,'Technology sum stats table'!$B$2:$J$17,I$1)</f>
        <v>-4.1730960000000001</v>
      </c>
      <c r="J15" s="16">
        <f>VLOOKUP($A15,'Technology sum stats table'!$B$2:$J$17,J$1)</f>
        <v>16.941279999999999</v>
      </c>
      <c r="K15" s="16">
        <f>VLOOKUP($A15,'Technology sum stats table'!$B$2:$J$17,K$1)</f>
        <v>32.934690000000003</v>
      </c>
      <c r="L15" s="16">
        <f>VLOOKUP($A15,'Technology sum stats table'!$B$2:$J$17,L$1)</f>
        <v>98.268190000000004</v>
      </c>
      <c r="M15" s="16">
        <f>VLOOKUP($A15,'Technology sum stats table'!$B$2:$J$17,M$1)</f>
        <v>109.2026</v>
      </c>
      <c r="N15" s="7"/>
      <c r="O15">
        <f>VLOOKUP($A15,'Technology R2s'!$A$2:$E$17,O$1,FALSE)</f>
        <v>31</v>
      </c>
      <c r="P15" s="14">
        <f>VLOOKUP($A15,'Technology R2s'!$A$20:$I$35,P$1,FALSE)</f>
        <v>0.59713959999999999</v>
      </c>
      <c r="Q15" s="14">
        <f>VLOOKUP($A15,'Technology R2s'!$A$20:$I$35,Q$1,FALSE)</f>
        <v>0.21900339999999999</v>
      </c>
    </row>
    <row r="16" spans="1:17">
      <c r="A16">
        <v>9</v>
      </c>
      <c r="C16" t="s">
        <v>182</v>
      </c>
      <c r="D16" s="3">
        <f>VLOOKUP($A16,'Technology FEs table'!$A$2:$C$16,3)</f>
        <v>1876</v>
      </c>
      <c r="E16" s="8">
        <f>VLOOKUP($A16,'Technology sum stats table'!$B$2:$J$17,E$1)</f>
        <v>64</v>
      </c>
      <c r="F16" s="8"/>
      <c r="G16" s="16">
        <f>VLOOKUP($A16,'Technology sum stats table'!$B$2:$J$17,G$1)</f>
        <v>51.542430000000003</v>
      </c>
      <c r="H16" s="16">
        <f>VLOOKUP($A16,'Technology sum stats table'!$B$2:$J$17,H$1)</f>
        <v>32.441389999999998</v>
      </c>
      <c r="I16" s="16">
        <f>VLOOKUP($A16,'Technology sum stats table'!$B$2:$J$17,I$1)</f>
        <v>-7.202026</v>
      </c>
      <c r="J16" s="16">
        <f>VLOOKUP($A16,'Technology sum stats table'!$B$2:$J$17,J$1)</f>
        <v>7.8459469999999998</v>
      </c>
      <c r="K16" s="16">
        <f>VLOOKUP($A16,'Technology sum stats table'!$B$2:$J$17,K$1)</f>
        <v>57.41986</v>
      </c>
      <c r="L16" s="16">
        <f>VLOOKUP($A16,'Technology sum stats table'!$B$2:$J$17,L$1)</f>
        <v>94.623540000000006</v>
      </c>
      <c r="M16" s="16">
        <f>VLOOKUP($A16,'Technology sum stats table'!$B$2:$J$17,M$1)</f>
        <v>113.3926</v>
      </c>
      <c r="N16" s="7"/>
      <c r="O16">
        <f>VLOOKUP($A16,'Technology R2s'!$A$2:$E$17,O$1,FALSE)</f>
        <v>62</v>
      </c>
      <c r="P16" s="14">
        <f>VLOOKUP($A16,'Technology R2s'!$A$20:$I$35,P$1,FALSE)</f>
        <v>0.84713559999999999</v>
      </c>
      <c r="Q16" s="14">
        <f>VLOOKUP($A16,'Technology R2s'!$A$20:$I$35,Q$1,FALSE)</f>
        <v>0.13321569999999999</v>
      </c>
    </row>
    <row r="17" spans="1:17">
      <c r="A17">
        <v>12</v>
      </c>
      <c r="C17" t="s">
        <v>216</v>
      </c>
      <c r="D17" s="3">
        <f>VLOOKUP($A17,'Technology FEs table'!$A$2:$C$16,3)</f>
        <v>1973</v>
      </c>
      <c r="E17" s="8">
        <f>VLOOKUP($A17,'Technology sum stats table'!$B$2:$J$17,E$1)</f>
        <v>83</v>
      </c>
      <c r="F17" s="8"/>
      <c r="G17" s="16">
        <f>VLOOKUP($A17,'Technology sum stats table'!$B$2:$J$17,G$1)</f>
        <v>14.61374</v>
      </c>
      <c r="H17" s="16">
        <f>VLOOKUP($A17,'Technology sum stats table'!$B$2:$J$17,H$1)</f>
        <v>3.9155069999999998</v>
      </c>
      <c r="I17" s="16">
        <f>VLOOKUP($A17,'Technology sum stats table'!$B$2:$J$17,I$1)</f>
        <v>4.7606999999999997E-3</v>
      </c>
      <c r="J17" s="16">
        <f>VLOOKUP($A17,'Technology sum stats table'!$B$2:$J$17,J$1)</f>
        <v>9.9647220000000001</v>
      </c>
      <c r="K17" s="16">
        <f>VLOOKUP($A17,'Technology sum stats table'!$B$2:$J$17,K$1)</f>
        <v>15.54834</v>
      </c>
      <c r="L17" s="16">
        <f>VLOOKUP($A17,'Technology sum stats table'!$B$2:$J$17,L$1)</f>
        <v>18.761600000000001</v>
      </c>
      <c r="M17" s="16">
        <f>VLOOKUP($A17,'Technology sum stats table'!$B$2:$J$17,M$1)</f>
        <v>19.77844</v>
      </c>
      <c r="N17" s="7"/>
      <c r="O17">
        <f>VLOOKUP($A17,'Technology R2s'!$A$2:$E$17,O$1,FALSE)</f>
        <v>83</v>
      </c>
      <c r="P17" s="14">
        <f>VLOOKUP($A17,'Technology R2s'!$A$20:$I$35,P$1,FALSE)</f>
        <v>0.90372430000000004</v>
      </c>
      <c r="Q17" s="14">
        <f>VLOOKUP($A17,'Technology R2s'!$A$20:$I$35,Q$1,FALSE)</f>
        <v>7.1557899999999994E-2</v>
      </c>
    </row>
    <row r="18" spans="1:17">
      <c r="E18" s="8"/>
      <c r="F18" s="8"/>
      <c r="G18" s="16"/>
      <c r="H18" s="16"/>
      <c r="I18" s="16"/>
      <c r="J18" s="16"/>
      <c r="K18" s="16"/>
      <c r="L18" s="16"/>
      <c r="M18" s="16"/>
      <c r="N18" s="7"/>
      <c r="P18" s="14"/>
      <c r="Q18" s="14"/>
    </row>
    <row r="19" spans="1:17">
      <c r="A19">
        <v>2</v>
      </c>
      <c r="C19" t="s">
        <v>187</v>
      </c>
      <c r="D19" s="3">
        <f>VLOOKUP($A19,'Technology FEs table'!$A$2:$C$16,3)</f>
        <v>1973</v>
      </c>
      <c r="E19" s="8">
        <f>VLOOKUP($A19,'Technology sum stats table'!$B$2:$J$17,E$1)</f>
        <v>70</v>
      </c>
      <c r="F19" s="8"/>
      <c r="G19" s="16">
        <f>VLOOKUP($A19,'Technology sum stats table'!$B$2:$J$17,G$1)</f>
        <v>13.956910000000001</v>
      </c>
      <c r="H19" s="16">
        <f>VLOOKUP($A19,'Technology sum stats table'!$B$2:$J$17,H$1)</f>
        <v>2.9343949999999999</v>
      </c>
      <c r="I19" s="16">
        <f>VLOOKUP($A19,'Technology sum stats table'!$B$2:$J$17,I$1)</f>
        <v>3.3170169999999999</v>
      </c>
      <c r="J19" s="16">
        <f>VLOOKUP($A19,'Technology sum stats table'!$B$2:$J$17,J$1)</f>
        <v>10.21729</v>
      </c>
      <c r="K19" s="16">
        <f>VLOOKUP($A19,'Technology sum stats table'!$B$2:$J$17,K$1)</f>
        <v>14.175420000000001</v>
      </c>
      <c r="L19" s="16">
        <f>VLOOKUP($A19,'Technology sum stats table'!$B$2:$J$17,L$1)</f>
        <v>17.02637</v>
      </c>
      <c r="M19" s="16">
        <f>VLOOKUP($A19,'Technology sum stats table'!$B$2:$J$17,M$1)</f>
        <v>19.295529999999999</v>
      </c>
      <c r="N19" s="7"/>
      <c r="O19">
        <f>VLOOKUP($A19,'Technology R2s'!$A$2:$E$17,O$1,FALSE)</f>
        <v>70</v>
      </c>
      <c r="P19" s="14">
        <f>VLOOKUP($A19,'Technology R2s'!$A$20:$I$35,P$1,FALSE)</f>
        <v>0.92268680000000003</v>
      </c>
      <c r="Q19" s="14">
        <f>VLOOKUP($A19,'Technology R2s'!$A$20:$I$35,Q$1,FALSE)</f>
        <v>6.8354200000000004E-2</v>
      </c>
    </row>
    <row r="20" spans="1:17">
      <c r="A20">
        <v>13</v>
      </c>
      <c r="C20" t="s">
        <v>195</v>
      </c>
      <c r="D20" s="3">
        <f>VLOOKUP($A20,'Technology FEs table'!$A$2:$C$16,3)</f>
        <v>1983</v>
      </c>
      <c r="E20" s="8">
        <f>VLOOKUP($A20,'Technology sum stats table'!$B$2:$J$17,E$1)</f>
        <v>60</v>
      </c>
      <c r="F20" s="8"/>
      <c r="G20" s="16">
        <f>VLOOKUP($A20,'Technology sum stats table'!$B$2:$J$17,G$1)</f>
        <v>7.7982440000000004</v>
      </c>
      <c r="H20" s="16">
        <f>VLOOKUP($A20,'Technology sum stats table'!$B$2:$J$17,H$1)</f>
        <v>2.174369</v>
      </c>
      <c r="I20" s="16">
        <f>VLOOKUP($A20,'Technology sum stats table'!$B$2:$J$17,I$1)</f>
        <v>-0.13476560000000001</v>
      </c>
      <c r="J20" s="16">
        <f>VLOOKUP($A20,'Technology sum stats table'!$B$2:$J$17,J$1)</f>
        <v>5.014526</v>
      </c>
      <c r="K20" s="16">
        <f>VLOOKUP($A20,'Technology sum stats table'!$B$2:$J$17,K$1)</f>
        <v>7.7683720000000003</v>
      </c>
      <c r="L20" s="16">
        <f>VLOOKUP($A20,'Technology sum stats table'!$B$2:$J$17,L$1)</f>
        <v>10.723269999999999</v>
      </c>
      <c r="M20" s="16">
        <f>VLOOKUP($A20,'Technology sum stats table'!$B$2:$J$17,M$1)</f>
        <v>10.93689</v>
      </c>
      <c r="N20" s="7"/>
      <c r="O20">
        <f>VLOOKUP($A20,'Technology R2s'!$A$2:$E$17,O$1,FALSE)</f>
        <v>60</v>
      </c>
      <c r="P20" s="14">
        <f>VLOOKUP($A20,'Technology R2s'!$A$20:$I$35,P$1,FALSE)</f>
        <v>0.9409904</v>
      </c>
      <c r="Q20" s="14">
        <f>VLOOKUP($A20,'Technology R2s'!$A$20:$I$35,Q$1,FALSE)</f>
        <v>5.1032300000000003E-2</v>
      </c>
    </row>
    <row r="21" spans="1:17">
      <c r="E21" s="8"/>
      <c r="F21" s="8"/>
      <c r="G21" s="16"/>
      <c r="H21" s="16"/>
      <c r="I21" s="16"/>
      <c r="J21" s="16"/>
      <c r="K21" s="16"/>
      <c r="L21" s="16"/>
      <c r="M21" s="16"/>
      <c r="N21" s="7"/>
      <c r="P21" s="14"/>
      <c r="Q21" s="14"/>
    </row>
    <row r="22" spans="1:17">
      <c r="A22">
        <v>14</v>
      </c>
      <c r="C22" t="s">
        <v>741</v>
      </c>
      <c r="D22" s="3">
        <f>VLOOKUP($A22,'Technology FEs table'!$A$2:$C$16,3)</f>
        <v>1977</v>
      </c>
      <c r="E22" s="8">
        <f>VLOOKUP($A22,'Technology sum stats table'!$B$2:$J$17,E$1)</f>
        <v>12</v>
      </c>
      <c r="F22" s="8"/>
      <c r="G22" s="16">
        <f>VLOOKUP($A22,'Technology sum stats table'!$B$2:$J$17,G$1)</f>
        <v>5.3016759999999996</v>
      </c>
      <c r="H22" s="16">
        <f>VLOOKUP($A22,'Technology sum stats table'!$B$2:$J$17,H$1)</f>
        <v>2.2925960000000001</v>
      </c>
      <c r="I22" s="16">
        <f>VLOOKUP($A22,'Technology sum stats table'!$B$2:$J$17,I$1)</f>
        <v>2.6217039999999998</v>
      </c>
      <c r="J22" s="16">
        <f>VLOOKUP($A22,'Technology sum stats table'!$B$2:$J$17,J$1)</f>
        <v>2.8748779999999998</v>
      </c>
      <c r="K22" s="16">
        <f>VLOOKUP($A22,'Technology sum stats table'!$B$2:$J$17,K$1)</f>
        <v>4.6826780000000001</v>
      </c>
      <c r="L22" s="16">
        <f>VLOOKUP($A22,'Technology sum stats table'!$B$2:$J$17,L$1)</f>
        <v>7.3814700000000002</v>
      </c>
      <c r="M22" s="16">
        <f>VLOOKUP($A22,'Technology sum stats table'!$B$2:$J$17,M$1)</f>
        <v>10.139530000000001</v>
      </c>
      <c r="N22" s="7"/>
      <c r="O22">
        <f>VLOOKUP($A22,'Technology R2s'!$A$2:$E$17,O$1,FALSE)</f>
        <v>12</v>
      </c>
      <c r="P22" s="14">
        <f>VLOOKUP($A22,'Technology R2s'!$A$20:$I$35,P$1,FALSE)</f>
        <v>0.946739</v>
      </c>
      <c r="Q22" s="14">
        <f>VLOOKUP($A22,'Technology R2s'!$A$20:$I$35,Q$1,FALSE)</f>
        <v>4.7867199999999999E-2</v>
      </c>
    </row>
    <row r="23" spans="1:17">
      <c r="E23" s="8"/>
      <c r="F23" s="8"/>
      <c r="G23" s="16"/>
      <c r="H23" s="16"/>
      <c r="I23" s="16"/>
      <c r="J23" s="16"/>
      <c r="K23" s="16"/>
      <c r="L23" s="16"/>
      <c r="M23" s="16"/>
      <c r="N23" s="7"/>
      <c r="P23" s="14"/>
      <c r="Q23" s="14"/>
    </row>
    <row r="24" spans="1:17">
      <c r="A24">
        <v>5</v>
      </c>
      <c r="C24" t="s">
        <v>185</v>
      </c>
      <c r="D24" s="3">
        <f>VLOOKUP($A24,'Technology FEs table'!$A$2:$C$16,3)</f>
        <v>1950</v>
      </c>
      <c r="E24" s="8">
        <f>VLOOKUP($A24,'Technology sum stats table'!$B$2:$J$17,E$1)</f>
        <v>39</v>
      </c>
      <c r="F24" s="8"/>
      <c r="G24" s="16">
        <f>VLOOKUP($A24,'Technology sum stats table'!$B$2:$J$17,G$1)</f>
        <v>16.306370000000001</v>
      </c>
      <c r="H24" s="16">
        <f>VLOOKUP($A24,'Technology sum stats table'!$B$2:$J$17,H$1)</f>
        <v>7.2473419999999997</v>
      </c>
      <c r="I24" s="16">
        <f>VLOOKUP($A24,'Technology sum stats table'!$B$2:$J$17,I$1)</f>
        <v>2.0537109999999998</v>
      </c>
      <c r="J24" s="16">
        <f>VLOOKUP($A24,'Technology sum stats table'!$B$2:$J$17,J$1)</f>
        <v>8.7825930000000003</v>
      </c>
      <c r="K24" s="16">
        <f>VLOOKUP($A24,'Technology sum stats table'!$B$2:$J$17,K$1)</f>
        <v>15.63757</v>
      </c>
      <c r="L24" s="16">
        <f>VLOOKUP($A24,'Technology sum stats table'!$B$2:$J$17,L$1)</f>
        <v>27.98828</v>
      </c>
      <c r="M24" s="16">
        <f>VLOOKUP($A24,'Technology sum stats table'!$B$2:$J$17,M$1)</f>
        <v>32.985469999999999</v>
      </c>
      <c r="N24" s="7"/>
      <c r="O24">
        <f>VLOOKUP($A24,'Technology R2s'!$A$2:$E$17,O$1,FALSE)</f>
        <v>32</v>
      </c>
      <c r="P24" s="15">
        <f>VLOOKUP($A24,'Technology R2s'!$A$20:$I$35,P$1,FALSE)</f>
        <v>0.64281379999999999</v>
      </c>
      <c r="Q24" s="15">
        <f>VLOOKUP($A24,'Technology R2s'!$A$20:$I$35,Q$1,FALSE)</f>
        <v>0.27471020000000002</v>
      </c>
    </row>
    <row r="25" spans="1:17">
      <c r="E25" s="8"/>
      <c r="F25" s="8"/>
      <c r="G25" s="16"/>
      <c r="H25" s="16"/>
      <c r="I25" s="16"/>
      <c r="J25" s="16"/>
      <c r="K25" s="16"/>
      <c r="L25" s="16"/>
      <c r="M25" s="16"/>
      <c r="N25" s="7"/>
      <c r="P25" s="14"/>
      <c r="Q25" s="14"/>
    </row>
    <row r="26" spans="1:17">
      <c r="A26">
        <v>3</v>
      </c>
      <c r="C26" t="s">
        <v>186</v>
      </c>
      <c r="D26" s="3">
        <f>VLOOKUP($A26,'Technology FEs table'!$A$2:$C$16,3)</f>
        <v>1882</v>
      </c>
      <c r="E26" s="8">
        <f>VLOOKUP($A26,'Technology sum stats table'!$B$2:$J$17,E$1)</f>
        <v>94</v>
      </c>
      <c r="F26" s="8"/>
      <c r="G26" s="16">
        <f>VLOOKUP($A26,'Technology sum stats table'!$B$2:$J$17,G$1)</f>
        <v>56.366050000000001</v>
      </c>
      <c r="H26" s="16">
        <f>VLOOKUP($A26,'Technology sum stats table'!$B$2:$J$17,H$1)</f>
        <v>19.905139999999999</v>
      </c>
      <c r="I26" s="16">
        <f>VLOOKUP($A26,'Technology sum stats table'!$B$2:$J$17,I$1)</f>
        <v>12.99902</v>
      </c>
      <c r="J26" s="16">
        <f>VLOOKUP($A26,'Technology sum stats table'!$B$2:$J$17,J$1)</f>
        <v>20.302980000000002</v>
      </c>
      <c r="K26" s="16">
        <f>VLOOKUP($A26,'Technology sum stats table'!$B$2:$J$17,K$1)</f>
        <v>65.822749999999999</v>
      </c>
      <c r="L26" s="16">
        <f>VLOOKUP($A26,'Technology sum stats table'!$B$2:$J$17,L$1)</f>
        <v>73.92456</v>
      </c>
      <c r="M26" s="16">
        <f>VLOOKUP($A26,'Technology sum stats table'!$B$2:$J$17,M$1)</f>
        <v>106.5402</v>
      </c>
      <c r="N26" s="7"/>
      <c r="O26">
        <f>VLOOKUP($A26,'Technology R2s'!$A$2:$E$17,O$1,FALSE)</f>
        <v>94</v>
      </c>
      <c r="P26" s="14">
        <f>VLOOKUP($A26,'Technology R2s'!$A$20:$I$35,P$1,FALSE)</f>
        <v>0.91312519999999997</v>
      </c>
      <c r="Q26" s="14">
        <f>VLOOKUP($A26,'Technology R2s'!$A$20:$I$35,Q$1,FALSE)</f>
        <v>0.1052429</v>
      </c>
    </row>
    <row r="27" spans="1:17">
      <c r="E27" s="8"/>
      <c r="F27" s="8"/>
      <c r="G27" s="16"/>
      <c r="H27" s="16"/>
      <c r="I27" s="16"/>
      <c r="J27" s="16"/>
      <c r="K27" s="16"/>
      <c r="L27" s="16"/>
      <c r="M27" s="16"/>
      <c r="N27" s="7"/>
      <c r="P27" s="14"/>
      <c r="Q27" s="14"/>
    </row>
    <row r="28" spans="1:17">
      <c r="A28">
        <v>16</v>
      </c>
      <c r="C28" t="s">
        <v>250</v>
      </c>
      <c r="E28" s="8">
        <f>VLOOKUP($A28,'Technology sum stats table'!$B$2:$J$17,E$1)</f>
        <v>830</v>
      </c>
      <c r="F28" s="8"/>
      <c r="G28" s="16">
        <f>VLOOKUP($A28,'Technology sum stats table'!$B$2:$J$17,G$1)</f>
        <v>45.475059999999999</v>
      </c>
      <c r="H28" s="16">
        <f>VLOOKUP($A28,'Technology sum stats table'!$B$2:$J$17,H$1)</f>
        <v>38.541339999999998</v>
      </c>
      <c r="I28" s="16">
        <f>VLOOKUP($A28,'Technology sum stats table'!$B$2:$J$17,I$1)</f>
        <v>2.6217039999999998</v>
      </c>
      <c r="J28" s="16">
        <f>VLOOKUP($A28,'Technology sum stats table'!$B$2:$J$17,J$1)</f>
        <v>9.0011600000000005</v>
      </c>
      <c r="K28" s="16">
        <f>VLOOKUP($A28,'Technology sum stats table'!$B$2:$J$17,K$1)</f>
        <v>32.498539999999998</v>
      </c>
      <c r="L28" s="16">
        <f>VLOOKUP($A28,'Technology sum stats table'!$B$2:$J$17,L$1)</f>
        <v>99.264889999999994</v>
      </c>
      <c r="M28" s="16">
        <f>VLOOKUP($A28,'Technology sum stats table'!$B$2:$J$17,M$1)</f>
        <v>178.15299999999999</v>
      </c>
      <c r="N28" s="7"/>
      <c r="O28">
        <f>VLOOKUP($A28,'Technology R2s'!$A$2:$E$17,O$1,FALSE)</f>
        <v>774</v>
      </c>
      <c r="P28" s="14">
        <f>VLOOKUP($A28,'Technology R2s'!$A$20:$I$35,P$1,FALSE)</f>
        <v>0.81082679999999996</v>
      </c>
      <c r="Q28" s="14">
        <f>VLOOKUP($A28,'Technology R2s'!$A$20:$I$35,Q$1,FALSE)</f>
        <v>0.20123199999999999</v>
      </c>
    </row>
  </sheetData>
  <mergeCells count="2">
    <mergeCell ref="G3:M3"/>
    <mergeCell ref="O3:Q3"/>
  </mergeCells>
  <phoneticPr fontId="1" type="noConversion"/>
  <pageMargins left="0.75" right="0.75" top="1" bottom="1" header="0.5" footer="0.5"/>
  <pageSetup scale="82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3" enableFormatConditionsCalculation="0">
    <tabColor indexed="11"/>
  </sheetPr>
  <dimension ref="A2:F12"/>
  <sheetViews>
    <sheetView zoomScale="150" zoomScaleNormal="150" workbookViewId="0">
      <selection activeCell="C30" sqref="C30"/>
    </sheetView>
  </sheetViews>
  <sheetFormatPr defaultRowHeight="12.75"/>
  <cols>
    <col min="1" max="2" width="19.140625" customWidth="1"/>
    <col min="3" max="3" width="15.85546875" customWidth="1"/>
    <col min="4" max="4" width="17.5703125" customWidth="1"/>
    <col min="5" max="5" width="22.5703125" customWidth="1"/>
    <col min="6" max="6" width="12.42578125" customWidth="1"/>
  </cols>
  <sheetData>
    <row r="2" spans="1:6">
      <c r="B2" t="s">
        <v>733</v>
      </c>
      <c r="C2" t="s">
        <v>727</v>
      </c>
      <c r="D2" t="s">
        <v>728</v>
      </c>
      <c r="E2" t="s">
        <v>731</v>
      </c>
      <c r="F2" t="s">
        <v>732</v>
      </c>
    </row>
    <row r="3" spans="1:6">
      <c r="A3" t="s">
        <v>729</v>
      </c>
      <c r="B3" s="16">
        <v>375667.91399999999</v>
      </c>
      <c r="C3" s="16">
        <v>375667.91399999999</v>
      </c>
      <c r="D3" s="16"/>
      <c r="E3" s="16">
        <v>855757.58200000005</v>
      </c>
      <c r="F3" s="16">
        <v>1231425.5</v>
      </c>
    </row>
    <row r="4" spans="1:6">
      <c r="A4" t="s">
        <v>728</v>
      </c>
      <c r="B4" s="16">
        <v>806062.30200000003</v>
      </c>
      <c r="C4" s="16"/>
      <c r="D4" s="16">
        <v>806062.30200000003</v>
      </c>
      <c r="E4" s="16">
        <v>425363.19400000002</v>
      </c>
      <c r="F4" s="16">
        <v>1231425.5</v>
      </c>
    </row>
    <row r="5" spans="1:6">
      <c r="A5" t="s">
        <v>730</v>
      </c>
      <c r="B5" s="16">
        <v>1022916.76</v>
      </c>
      <c r="C5" s="16">
        <v>216854.46100000001</v>
      </c>
      <c r="D5" s="16">
        <v>647248.85</v>
      </c>
      <c r="E5" s="16">
        <v>208508.73300000001</v>
      </c>
      <c r="F5" s="16">
        <v>1231425.5</v>
      </c>
    </row>
    <row r="7" spans="1:6">
      <c r="A7" t="s">
        <v>732</v>
      </c>
      <c r="B7">
        <f>F5</f>
        <v>1231425.5</v>
      </c>
    </row>
    <row r="9" spans="1:6">
      <c r="B9" t="str">
        <f>B2</f>
        <v>Model SS</v>
      </c>
      <c r="C9" t="str">
        <f>C2</f>
        <v>Country effect</v>
      </c>
      <c r="D9" t="str">
        <f>D2</f>
        <v>Technology effect</v>
      </c>
      <c r="E9" t="str">
        <f>E2</f>
        <v>Residual sum of squares</v>
      </c>
      <c r="F9" t="str">
        <f>F2</f>
        <v>Total sum of squares</v>
      </c>
    </row>
    <row r="10" spans="1:6">
      <c r="A10" t="s">
        <v>729</v>
      </c>
      <c r="B10" s="17">
        <f>B3/$B$7</f>
        <v>0.30506751240736851</v>
      </c>
      <c r="C10" s="17">
        <f>C3/$B$7</f>
        <v>0.30506751240736851</v>
      </c>
      <c r="D10" s="17"/>
      <c r="E10" s="17">
        <f t="shared" ref="E10:F12" si="0">E3/$B$7</f>
        <v>0.6949324843443635</v>
      </c>
      <c r="F10" s="17">
        <f t="shared" si="0"/>
        <v>1</v>
      </c>
    </row>
    <row r="11" spans="1:6">
      <c r="A11" t="s">
        <v>728</v>
      </c>
      <c r="B11" s="17">
        <f>B4/$B$7</f>
        <v>0.65457658786503936</v>
      </c>
      <c r="C11" s="17"/>
      <c r="D11" s="17">
        <f>D4/$B$7</f>
        <v>0.65457658786503936</v>
      </c>
      <c r="E11" s="17">
        <f t="shared" si="0"/>
        <v>0.34542340888669271</v>
      </c>
      <c r="F11" s="17">
        <f t="shared" si="0"/>
        <v>1</v>
      </c>
    </row>
    <row r="12" spans="1:6">
      <c r="A12" t="s">
        <v>730</v>
      </c>
      <c r="B12" s="17">
        <f>B5/$B$7</f>
        <v>0.83067693498307449</v>
      </c>
      <c r="C12" s="17">
        <f>C5/$B$7</f>
        <v>0.17610034955423615</v>
      </c>
      <c r="D12" s="17">
        <f>D5/$B$7</f>
        <v>0.52560942582397385</v>
      </c>
      <c r="E12" s="17">
        <f t="shared" si="0"/>
        <v>0.16932305933245659</v>
      </c>
      <c r="F12" s="17">
        <f t="shared" si="0"/>
        <v>1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>
    <tabColor indexed="11"/>
  </sheetPr>
  <dimension ref="A1:I26"/>
  <sheetViews>
    <sheetView workbookViewId="0">
      <selection activeCell="I2" sqref="I2"/>
    </sheetView>
  </sheetViews>
  <sheetFormatPr defaultRowHeight="12.75"/>
  <cols>
    <col min="5" max="5" width="3.140625" customWidth="1"/>
    <col min="6" max="6" width="7.85546875" customWidth="1"/>
    <col min="7" max="7" width="3.28515625" customWidth="1"/>
    <col min="8" max="8" width="3.42578125" customWidth="1"/>
  </cols>
  <sheetData>
    <row r="1" spans="1:9">
      <c r="F1">
        <v>9</v>
      </c>
      <c r="I1">
        <v>2</v>
      </c>
    </row>
    <row r="2" spans="1:9">
      <c r="A2" t="s">
        <v>173</v>
      </c>
      <c r="C2" t="s">
        <v>174</v>
      </c>
      <c r="D2" s="18" t="s">
        <v>188</v>
      </c>
      <c r="E2" s="18"/>
      <c r="F2" s="12" t="s">
        <v>760</v>
      </c>
      <c r="I2" s="20" t="s">
        <v>761</v>
      </c>
    </row>
    <row r="3" spans="1:9">
      <c r="C3" t="s">
        <v>175</v>
      </c>
      <c r="D3" s="18"/>
      <c r="E3" s="18"/>
      <c r="F3" s="18"/>
    </row>
    <row r="4" spans="1:9">
      <c r="D4" s="18"/>
      <c r="E4" s="18"/>
      <c r="F4" s="18"/>
    </row>
    <row r="5" spans="1:9">
      <c r="A5">
        <v>15</v>
      </c>
      <c r="C5" t="s">
        <v>196</v>
      </c>
      <c r="D5" s="18">
        <f>VLOOKUP($A5,'Technology FEs table'!$A$2:$C$16,3)</f>
        <v>1788</v>
      </c>
      <c r="E5" s="18"/>
      <c r="F5" s="19">
        <f t="shared" ref="F5:F11" si="0">VLOOKUP($A5,Robustnesspt1,F$1)</f>
        <v>0.6470588235294118</v>
      </c>
      <c r="I5" s="21">
        <f t="shared" ref="I5:I11" si="1">VLOOKUP($A5,Robustnesspt2,I$1)</f>
        <v>0.98712789999999995</v>
      </c>
    </row>
    <row r="6" spans="1:9">
      <c r="A6">
        <v>7</v>
      </c>
      <c r="C6" t="s">
        <v>178</v>
      </c>
      <c r="D6" s="18">
        <f>VLOOKUP($A6,'Technology FEs table'!$A$2:$C$16,3)</f>
        <v>1825</v>
      </c>
      <c r="E6" s="18"/>
      <c r="F6" s="19">
        <f t="shared" si="0"/>
        <v>0.66666666666666663</v>
      </c>
      <c r="I6" s="21">
        <f t="shared" si="1"/>
        <v>0.88517449999999998</v>
      </c>
    </row>
    <row r="7" spans="1:9">
      <c r="A7">
        <v>6</v>
      </c>
      <c r="C7" t="s">
        <v>179</v>
      </c>
      <c r="D7" s="18">
        <f>VLOOKUP($A7,'Technology FEs table'!$A$2:$C$16,3)</f>
        <v>1825</v>
      </c>
      <c r="E7" s="18"/>
      <c r="F7" s="19">
        <f t="shared" si="0"/>
        <v>0.61904761904761907</v>
      </c>
      <c r="I7" s="21">
        <f t="shared" si="1"/>
        <v>0.97483969999999998</v>
      </c>
    </row>
    <row r="8" spans="1:9">
      <c r="A8">
        <v>1</v>
      </c>
      <c r="C8" t="s">
        <v>180</v>
      </c>
      <c r="D8" s="18">
        <f>VLOOKUP($A8,'Technology FEs table'!$A$2:$C$16,3)</f>
        <v>1885</v>
      </c>
      <c r="E8" s="18"/>
      <c r="F8" s="19">
        <f t="shared" si="0"/>
        <v>0.75342465753424659</v>
      </c>
      <c r="I8" s="21">
        <f t="shared" si="1"/>
        <v>0.81815930000000003</v>
      </c>
    </row>
    <row r="9" spans="1:9">
      <c r="A9">
        <v>4</v>
      </c>
      <c r="C9" t="s">
        <v>181</v>
      </c>
      <c r="D9" s="18">
        <f>VLOOKUP($A9,'Technology FEs table'!$A$2:$C$16,3)</f>
        <v>1885</v>
      </c>
      <c r="E9" s="18"/>
      <c r="F9" s="19">
        <f t="shared" si="0"/>
        <v>0.81034482758620685</v>
      </c>
      <c r="I9" s="21">
        <f t="shared" si="1"/>
        <v>0.81064579999999997</v>
      </c>
    </row>
    <row r="10" spans="1:9">
      <c r="A10">
        <v>11</v>
      </c>
      <c r="C10" t="s">
        <v>176</v>
      </c>
      <c r="D10" s="18">
        <f>VLOOKUP($A10,'Technology FEs table'!$A$2:$C$16,3)</f>
        <v>1903</v>
      </c>
      <c r="E10" s="18"/>
      <c r="F10" s="19">
        <f t="shared" si="0"/>
        <v>0.66</v>
      </c>
      <c r="I10" s="21">
        <f t="shared" si="1"/>
        <v>0.92711779999999999</v>
      </c>
    </row>
    <row r="11" spans="1:9">
      <c r="A11">
        <v>10</v>
      </c>
      <c r="C11" t="s">
        <v>177</v>
      </c>
      <c r="D11" s="18">
        <f>VLOOKUP($A11,'Technology FEs table'!$A$2:$C$16,3)</f>
        <v>1903</v>
      </c>
      <c r="E11" s="18"/>
      <c r="F11" s="19">
        <f t="shared" si="0"/>
        <v>0.76666666666666672</v>
      </c>
      <c r="I11" s="21">
        <f t="shared" si="1"/>
        <v>0.83250020000000002</v>
      </c>
    </row>
    <row r="12" spans="1:9">
      <c r="D12" s="18"/>
      <c r="E12" s="18"/>
      <c r="F12" s="19"/>
      <c r="I12" s="14"/>
    </row>
    <row r="13" spans="1:9">
      <c r="A13">
        <v>8</v>
      </c>
      <c r="C13" t="s">
        <v>183</v>
      </c>
      <c r="D13" s="18">
        <f>VLOOKUP($A13,'Technology FEs table'!$A$2:$C$16,3)</f>
        <v>1835</v>
      </c>
      <c r="E13" s="18"/>
      <c r="F13" s="19">
        <f>VLOOKUP($A13,Robustnesspt1,F$1)</f>
        <v>0.59090909090909094</v>
      </c>
      <c r="I13" s="21">
        <f>VLOOKUP($A13,Robustnesspt2,I$1)</f>
        <v>0.94871000000000005</v>
      </c>
    </row>
    <row r="14" spans="1:9">
      <c r="A14">
        <v>9</v>
      </c>
      <c r="C14" t="s">
        <v>182</v>
      </c>
      <c r="D14" s="18">
        <f>VLOOKUP($A14,'Technology FEs table'!$A$2:$C$16,3)</f>
        <v>1876</v>
      </c>
      <c r="E14" s="18"/>
      <c r="F14" s="19">
        <f>VLOOKUP($A14,Robustnesspt1,F$1)</f>
        <v>0.796875</v>
      </c>
      <c r="I14" s="21">
        <f>VLOOKUP($A14,Robustnesspt2,I$1)</f>
        <v>0.94410070000000001</v>
      </c>
    </row>
    <row r="15" spans="1:9">
      <c r="A15">
        <v>12</v>
      </c>
      <c r="C15" t="s">
        <v>216</v>
      </c>
      <c r="D15" s="18">
        <f>VLOOKUP($A15,'Technology FEs table'!$A$2:$C$16,3)</f>
        <v>1973</v>
      </c>
      <c r="E15" s="18"/>
      <c r="F15" s="19">
        <f>VLOOKUP($A15,Robustnesspt1,F$1)</f>
        <v>0.67469879518072284</v>
      </c>
      <c r="I15" s="21">
        <f>VLOOKUP($A15,Robustnesspt2,I$1)</f>
        <v>0.70015519999999998</v>
      </c>
    </row>
    <row r="16" spans="1:9">
      <c r="D16" s="18"/>
      <c r="E16" s="18"/>
      <c r="F16" s="19"/>
      <c r="I16" s="14"/>
    </row>
    <row r="17" spans="1:9">
      <c r="A17">
        <v>2</v>
      </c>
      <c r="C17" t="s">
        <v>187</v>
      </c>
      <c r="D17" s="18">
        <f>VLOOKUP($A17,'Technology FEs table'!$A$2:$C$16,3)</f>
        <v>1973</v>
      </c>
      <c r="E17" s="18"/>
      <c r="F17" s="19">
        <f>VLOOKUP($A17,Robustnesspt1,F$1)</f>
        <v>0.58571428571428574</v>
      </c>
      <c r="I17" s="21">
        <f>VLOOKUP($A17,Robustnesspt2,I$1)</f>
        <v>0.40871200000000002</v>
      </c>
    </row>
    <row r="18" spans="1:9">
      <c r="A18">
        <v>13</v>
      </c>
      <c r="C18" t="s">
        <v>195</v>
      </c>
      <c r="D18" s="18">
        <f>VLOOKUP($A18,'Technology FEs table'!$A$2:$C$16,3)</f>
        <v>1983</v>
      </c>
      <c r="E18" s="18"/>
      <c r="F18" s="19">
        <f>VLOOKUP($A18,Robustnesspt1,F$1)</f>
        <v>1</v>
      </c>
      <c r="I18" s="21">
        <f>VLOOKUP($A18,Robustnesspt2,I$1)</f>
        <v>0.58721789999999996</v>
      </c>
    </row>
    <row r="19" spans="1:9">
      <c r="D19" s="18"/>
      <c r="E19" s="18"/>
      <c r="F19" s="19"/>
      <c r="I19" s="14"/>
    </row>
    <row r="20" spans="1:9">
      <c r="A20">
        <v>14</v>
      </c>
      <c r="C20" t="s">
        <v>741</v>
      </c>
      <c r="D20" s="18">
        <f>VLOOKUP($A20,'Technology FEs table'!$A$2:$C$16,3)</f>
        <v>1977</v>
      </c>
      <c r="E20" s="18"/>
      <c r="F20" s="19">
        <f>VLOOKUP($A20,Robustnesspt1,F$1)</f>
        <v>0.91666666666666663</v>
      </c>
      <c r="I20" s="21">
        <f>VLOOKUP($A20,Robustnesspt2,I$1)</f>
        <v>0.55701959999999995</v>
      </c>
    </row>
    <row r="21" spans="1:9">
      <c r="D21" s="18"/>
      <c r="E21" s="18"/>
      <c r="F21" s="19"/>
      <c r="I21" s="14"/>
    </row>
    <row r="22" spans="1:9">
      <c r="A22">
        <v>5</v>
      </c>
      <c r="C22" t="s">
        <v>185</v>
      </c>
      <c r="D22" s="18">
        <f>VLOOKUP($A22,'Technology FEs table'!$A$2:$C$16,3)</f>
        <v>1950</v>
      </c>
      <c r="E22" s="18"/>
      <c r="F22" s="19">
        <f>VLOOKUP($A22,Robustnesspt1,F$1)</f>
        <v>0.71794871794871795</v>
      </c>
      <c r="I22" s="21">
        <f>VLOOKUP($A22,Robustnesspt2,I$1)</f>
        <v>0.73066439999999999</v>
      </c>
    </row>
    <row r="23" spans="1:9">
      <c r="D23" s="18"/>
      <c r="E23" s="18"/>
      <c r="F23" s="19"/>
      <c r="I23" s="14"/>
    </row>
    <row r="24" spans="1:9">
      <c r="A24">
        <v>3</v>
      </c>
      <c r="C24" t="s">
        <v>186</v>
      </c>
      <c r="D24" s="18">
        <f>VLOOKUP($A24,'Technology FEs table'!$A$2:$C$16,3)</f>
        <v>1882</v>
      </c>
      <c r="E24" s="18"/>
      <c r="F24" s="19">
        <f>VLOOKUP($A24,Robustnesspt1,F$1)</f>
        <v>0.41489361702127658</v>
      </c>
      <c r="I24" s="21">
        <f>VLOOKUP($A24,Robustnesspt2,I$1)</f>
        <v>0.90871049999999998</v>
      </c>
    </row>
    <row r="25" spans="1:9">
      <c r="D25" s="18"/>
      <c r="E25" s="18"/>
      <c r="F25" s="19"/>
      <c r="I25" s="14"/>
    </row>
    <row r="26" spans="1:9">
      <c r="A26">
        <v>16</v>
      </c>
      <c r="C26" t="s">
        <v>250</v>
      </c>
      <c r="D26" s="18"/>
      <c r="E26" s="18"/>
      <c r="F26" s="19">
        <f>VLOOKUP($A26,Robustnesspt1,F$1)</f>
        <v>0.68554216867469875</v>
      </c>
      <c r="I26" s="21">
        <f>VLOOKUP($A26,Robustnesspt2,I$1)</f>
        <v>0.80139039999999995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4" enableFormatConditionsCalculation="0">
    <tabColor indexed="11"/>
  </sheetPr>
  <dimension ref="A1:L34"/>
  <sheetViews>
    <sheetView workbookViewId="0">
      <selection activeCell="E27" sqref="E27"/>
    </sheetView>
  </sheetViews>
  <sheetFormatPr defaultRowHeight="12.75"/>
  <sheetData>
    <row r="1" spans="1:12">
      <c r="E1">
        <v>8</v>
      </c>
      <c r="F1">
        <v>3</v>
      </c>
      <c r="G1">
        <v>9</v>
      </c>
      <c r="H1">
        <v>5</v>
      </c>
      <c r="I1">
        <v>7</v>
      </c>
      <c r="J1">
        <v>4</v>
      </c>
      <c r="K1">
        <v>6</v>
      </c>
      <c r="L1">
        <v>10</v>
      </c>
    </row>
    <row r="3" spans="1:12">
      <c r="A3" t="s">
        <v>173</v>
      </c>
      <c r="C3" t="s">
        <v>174</v>
      </c>
      <c r="D3" t="s">
        <v>188</v>
      </c>
      <c r="E3" t="s">
        <v>158</v>
      </c>
      <c r="F3" t="s">
        <v>720</v>
      </c>
      <c r="G3" t="s">
        <v>432</v>
      </c>
      <c r="H3" t="s">
        <v>201</v>
      </c>
      <c r="I3" t="s">
        <v>721</v>
      </c>
      <c r="J3" t="s">
        <v>722</v>
      </c>
      <c r="K3" t="s">
        <v>723</v>
      </c>
      <c r="L3" t="s">
        <v>724</v>
      </c>
    </row>
    <row r="5" spans="1:12">
      <c r="A5">
        <v>15</v>
      </c>
      <c r="C5" t="s">
        <v>196</v>
      </c>
      <c r="D5">
        <f>VLOOKUP($A5,'Technology FEs table'!$A$2:$C$16,3)</f>
        <v>1788</v>
      </c>
      <c r="E5" s="16">
        <f>VLOOKUP($A5,'Groups results'!$A$2:$J$31,E$1,FALSE)</f>
        <v>-90.743290000000002</v>
      </c>
      <c r="F5" s="16">
        <f>VLOOKUP($A5,'Groups results'!$A$2:$J$31,F$1,FALSE)</f>
        <v>-79.237300000000005</v>
      </c>
      <c r="G5" s="16">
        <f>VLOOKUP($A5,'Groups results'!$A$2:$J$31,G$1,FALSE)</f>
        <v>-7.6883540000000004</v>
      </c>
      <c r="H5" s="16">
        <f>VLOOKUP($A5,'Groups results'!$A$2:$J$31,H$1,FALSE)</f>
        <v>-50.558169999999997</v>
      </c>
      <c r="I5" s="16">
        <f>VLOOKUP($A5,'Groups results'!$A$2:$J$31,I$1,FALSE)</f>
        <v>54.588700000000003</v>
      </c>
      <c r="J5" s="16">
        <f>VLOOKUP($A5,'Groups results'!$A$2:$J$31,J$1,FALSE)</f>
        <v>-9.3819940000000006</v>
      </c>
      <c r="K5" s="16">
        <f>VLOOKUP($A5,'Groups results'!$A$2:$J$31,K$1,FALSE)</f>
        <v>45.061709999999998</v>
      </c>
      <c r="L5" s="16">
        <f>VLOOKUP($A5,'Groups results'!$A$2:$J$31,L$1,FALSE)</f>
        <v>38.179639999999999</v>
      </c>
    </row>
    <row r="6" spans="1:12">
      <c r="A6">
        <f>A5+0.5</f>
        <v>15.5</v>
      </c>
      <c r="E6" s="16">
        <f>VLOOKUP($A6,'Groups results'!$A$2:$J$31,E$1,FALSE)</f>
        <v>1</v>
      </c>
      <c r="F6" s="16">
        <f>VLOOKUP($A6,'Groups results'!$A$2:$J$31,F$1,FALSE)</f>
        <v>1</v>
      </c>
      <c r="G6" s="16">
        <f>VLOOKUP($A6,'Groups results'!$A$2:$J$31,G$1,FALSE)</f>
        <v>1</v>
      </c>
      <c r="H6" s="16">
        <f>VLOOKUP($A6,'Groups results'!$A$2:$J$31,H$1,FALSE)</f>
        <v>14</v>
      </c>
      <c r="I6" s="16">
        <f>VLOOKUP($A6,'Groups results'!$A$2:$J$31,I$1,FALSE)</f>
        <v>3</v>
      </c>
      <c r="J6" s="16">
        <f>VLOOKUP($A6,'Groups results'!$A$2:$J$31,J$1,FALSE)</f>
        <v>10</v>
      </c>
      <c r="K6" s="16">
        <f>VLOOKUP($A6,'Groups results'!$A$2:$J$31,K$1,FALSE)</f>
        <v>2</v>
      </c>
      <c r="L6" s="16">
        <f>VLOOKUP($A6,'Groups results'!$A$2:$J$31,L$1,FALSE)</f>
        <v>19</v>
      </c>
    </row>
    <row r="7" spans="1:12">
      <c r="A7">
        <v>7</v>
      </c>
      <c r="C7" t="s">
        <v>178</v>
      </c>
      <c r="D7">
        <f>VLOOKUP($A7,'Technology FEs table'!$A$2:$C$16,3)</f>
        <v>1825</v>
      </c>
      <c r="E7" s="16">
        <f>VLOOKUP($A7,'Groups results'!$A$2:$J$31,E$1,FALSE)</f>
        <v>-41.508180000000003</v>
      </c>
      <c r="F7" s="16">
        <f>VLOOKUP($A7,'Groups results'!$A$2:$J$31,F$1,FALSE)</f>
        <v>7.669556</v>
      </c>
      <c r="G7" s="16">
        <f>VLOOKUP($A7,'Groups results'!$A$2:$J$31,G$1,FALSE)</f>
        <v>-33.326050000000002</v>
      </c>
      <c r="H7" s="16">
        <f>VLOOKUP($A7,'Groups results'!$A$2:$J$31,H$1,FALSE)</f>
        <v>-22.889810000000001</v>
      </c>
      <c r="I7" s="16">
        <f>VLOOKUP($A7,'Groups results'!$A$2:$J$31,I$1,FALSE)</f>
        <v>13.90222</v>
      </c>
      <c r="J7" s="16">
        <f>VLOOKUP($A7,'Groups results'!$A$2:$J$31,J$1,FALSE)</f>
        <v>1.045029</v>
      </c>
      <c r="K7" s="16">
        <f>VLOOKUP($A7,'Groups results'!$A$2:$J$31,K$1,FALSE)</f>
        <v>22.980429999999998</v>
      </c>
      <c r="L7" s="16">
        <f>VLOOKUP($A7,'Groups results'!$A$2:$J$31,L$1,FALSE)</f>
        <v>6.0264990000000003</v>
      </c>
    </row>
    <row r="8" spans="1:12">
      <c r="A8">
        <f>A7+0.5</f>
        <v>7.5</v>
      </c>
      <c r="E8" s="16">
        <f>VLOOKUP($A8,'Groups results'!$A$2:$J$31,E$1,FALSE)</f>
        <v>1</v>
      </c>
      <c r="F8" s="16">
        <f>VLOOKUP($A8,'Groups results'!$A$2:$J$31,F$1,FALSE)</f>
        <v>1</v>
      </c>
      <c r="G8" s="16">
        <f>VLOOKUP($A8,'Groups results'!$A$2:$J$31,G$1,FALSE)</f>
        <v>1</v>
      </c>
      <c r="H8" s="16">
        <f>VLOOKUP($A8,'Groups results'!$A$2:$J$31,H$1,FALSE)</f>
        <v>14</v>
      </c>
      <c r="I8" s="16">
        <f>VLOOKUP($A8,'Groups results'!$A$2:$J$31,I$1,FALSE)</f>
        <v>2</v>
      </c>
      <c r="J8" s="16">
        <f>VLOOKUP($A8,'Groups results'!$A$2:$J$31,J$1,FALSE)</f>
        <v>8</v>
      </c>
      <c r="K8" s="16">
        <f>VLOOKUP($A8,'Groups results'!$A$2:$J$31,K$1,FALSE)</f>
        <v>9</v>
      </c>
      <c r="L8" s="16">
        <f>VLOOKUP($A8,'Groups results'!$A$2:$J$31,L$1,FALSE)</f>
        <v>24</v>
      </c>
    </row>
    <row r="9" spans="1:12">
      <c r="A9">
        <v>6</v>
      </c>
      <c r="C9" t="s">
        <v>179</v>
      </c>
      <c r="D9">
        <f>VLOOKUP($A9,'Technology FEs table'!$A$2:$C$16,3)</f>
        <v>1825</v>
      </c>
      <c r="E9" s="16">
        <f>VLOOKUP($A9,'Groups results'!$A$2:$J$31,E$1,FALSE)</f>
        <v>-35.664430000000003</v>
      </c>
      <c r="F9" s="16">
        <f>VLOOKUP($A9,'Groups results'!$A$2:$J$31,F$1,FALSE)</f>
        <v>0</v>
      </c>
      <c r="G9" s="16">
        <f>VLOOKUP($A9,'Groups results'!$A$2:$J$31,G$1,FALSE)</f>
        <v>-14.62476</v>
      </c>
      <c r="H9" s="16">
        <f>VLOOKUP($A9,'Groups results'!$A$2:$J$31,H$1,FALSE)</f>
        <v>-21.83051</v>
      </c>
      <c r="I9" s="16">
        <f>VLOOKUP($A9,'Groups results'!$A$2:$J$31,I$1,FALSE)</f>
        <v>44.533079999999998</v>
      </c>
      <c r="J9" s="16">
        <f>VLOOKUP($A9,'Groups results'!$A$2:$J$31,J$1,FALSE)</f>
        <v>5.6354980000000001</v>
      </c>
      <c r="K9" s="16">
        <f>VLOOKUP($A9,'Groups results'!$A$2:$J$31,K$1,FALSE)</f>
        <v>44.533940000000001</v>
      </c>
      <c r="L9" s="16">
        <f>VLOOKUP($A9,'Groups results'!$A$2:$J$31,L$1,FALSE)</f>
        <v>13.953340000000001</v>
      </c>
    </row>
    <row r="10" spans="1:12">
      <c r="A10">
        <f>A9+0.5</f>
        <v>6.5</v>
      </c>
      <c r="E10" s="16">
        <f>VLOOKUP($A10,'Groups results'!$A$2:$J$31,E$1,FALSE)</f>
        <v>1</v>
      </c>
      <c r="F10" s="16">
        <f>VLOOKUP($A10,'Groups results'!$A$2:$J$31,F$1,FALSE)</f>
        <v>0</v>
      </c>
      <c r="G10" s="16">
        <f>VLOOKUP($A10,'Groups results'!$A$2:$J$31,G$1,FALSE)</f>
        <v>1</v>
      </c>
      <c r="H10" s="16">
        <f>VLOOKUP($A10,'Groups results'!$A$2:$J$31,H$1,FALSE)</f>
        <v>18</v>
      </c>
      <c r="I10" s="16">
        <f>VLOOKUP($A10,'Groups results'!$A$2:$J$31,I$1,FALSE)</f>
        <v>1</v>
      </c>
      <c r="J10" s="16">
        <f>VLOOKUP($A10,'Groups results'!$A$2:$J$31,J$1,FALSE)</f>
        <v>2</v>
      </c>
      <c r="K10" s="16">
        <f>VLOOKUP($A10,'Groups results'!$A$2:$J$31,K$1,FALSE)</f>
        <v>4</v>
      </c>
      <c r="L10" s="16">
        <f>VLOOKUP($A10,'Groups results'!$A$2:$J$31,L$1,FALSE)</f>
        <v>15</v>
      </c>
    </row>
    <row r="11" spans="1:12">
      <c r="A11">
        <v>8</v>
      </c>
      <c r="C11" t="s">
        <v>183</v>
      </c>
      <c r="D11">
        <f>VLOOKUP($A11,'Technology FEs table'!$A$2:$C$16,3)</f>
        <v>1835</v>
      </c>
      <c r="E11" s="16">
        <f>VLOOKUP($A11,'Groups results'!$A$2:$J$31,E$1,FALSE)</f>
        <v>-13.766719999999999</v>
      </c>
      <c r="F11" s="16">
        <f>VLOOKUP($A11,'Groups results'!$A$2:$J$31,F$1,FALSE)</f>
        <v>-35.847050000000003</v>
      </c>
      <c r="G11" s="16">
        <f>VLOOKUP($A11,'Groups results'!$A$2:$J$31,G$1,FALSE)</f>
        <v>-10.63818</v>
      </c>
      <c r="H11" s="16">
        <f>VLOOKUP($A11,'Groups results'!$A$2:$J$31,H$1,FALSE)</f>
        <v>-21.024360000000001</v>
      </c>
      <c r="I11" s="16">
        <f>VLOOKUP($A11,'Groups results'!$A$2:$J$31,I$1,FALSE)</f>
        <v>63.560360000000003</v>
      </c>
      <c r="J11" s="16">
        <f>VLOOKUP($A11,'Groups results'!$A$2:$J$31,J$1,FALSE)</f>
        <v>7.6599120000000003</v>
      </c>
      <c r="K11" s="16">
        <f>VLOOKUP($A11,'Groups results'!$A$2:$J$31,K$1,FALSE)</f>
        <v>52.364750000000001</v>
      </c>
      <c r="L11" s="16">
        <f>VLOOKUP($A11,'Groups results'!$A$2:$J$31,L$1,FALSE)</f>
        <v>15.81442</v>
      </c>
    </row>
    <row r="12" spans="1:12">
      <c r="A12">
        <f>A11+0.5</f>
        <v>8.5</v>
      </c>
      <c r="E12" s="16">
        <f>VLOOKUP($A12,'Groups results'!$A$2:$J$31,E$1,FALSE)</f>
        <v>1</v>
      </c>
      <c r="F12" s="16">
        <f>VLOOKUP($A12,'Groups results'!$A$2:$J$31,F$1,FALSE)</f>
        <v>1</v>
      </c>
      <c r="G12" s="16">
        <f>VLOOKUP($A12,'Groups results'!$A$2:$J$31,G$1,FALSE)</f>
        <v>1</v>
      </c>
      <c r="H12" s="16">
        <f>VLOOKUP($A12,'Groups results'!$A$2:$J$31,H$1,FALSE)</f>
        <v>18</v>
      </c>
      <c r="I12" s="16">
        <f>VLOOKUP($A12,'Groups results'!$A$2:$J$31,I$1,FALSE)</f>
        <v>2</v>
      </c>
      <c r="J12" s="16">
        <f>VLOOKUP($A12,'Groups results'!$A$2:$J$31,J$1,FALSE)</f>
        <v>7</v>
      </c>
      <c r="K12" s="16">
        <f>VLOOKUP($A12,'Groups results'!$A$2:$J$31,K$1,FALSE)</f>
        <v>1</v>
      </c>
      <c r="L12" s="16">
        <f>VLOOKUP($A12,'Groups results'!$A$2:$J$31,L$1,FALSE)</f>
        <v>13</v>
      </c>
    </row>
    <row r="13" spans="1:12">
      <c r="A13">
        <v>9</v>
      </c>
      <c r="C13" t="s">
        <v>182</v>
      </c>
      <c r="D13">
        <f>VLOOKUP($A13,'Technology FEs table'!$A$2:$C$16,3)</f>
        <v>1876</v>
      </c>
      <c r="E13" s="16">
        <f>VLOOKUP($A13,'Groups results'!$A$2:$J$31,E$1,FALSE)</f>
        <v>-51.851320000000001</v>
      </c>
      <c r="F13" s="16">
        <f>VLOOKUP($A13,'Groups results'!$A$2:$J$31,F$1,FALSE)</f>
        <v>-33.826050000000002</v>
      </c>
      <c r="G13" s="16">
        <f>VLOOKUP($A13,'Groups results'!$A$2:$J$31,G$1,FALSE)</f>
        <v>-35.720579999999998</v>
      </c>
      <c r="H13" s="16">
        <f>VLOOKUP($A13,'Groups results'!$A$2:$J$31,H$1,FALSE)</f>
        <v>-28.76267</v>
      </c>
      <c r="I13" s="16">
        <f>VLOOKUP($A13,'Groups results'!$A$2:$J$31,I$1,FALSE)</f>
        <v>24.546019999999999</v>
      </c>
      <c r="J13" s="16">
        <f>VLOOKUP($A13,'Groups results'!$A$2:$J$31,J$1,FALSE)</f>
        <v>-11.19711</v>
      </c>
      <c r="K13" s="16">
        <f>VLOOKUP($A13,'Groups results'!$A$2:$J$31,K$1,FALSE)</f>
        <v>26.800850000000001</v>
      </c>
      <c r="L13" s="16">
        <f>VLOOKUP($A13,'Groups results'!$A$2:$J$31,L$1,FALSE)</f>
        <v>18.980049999999999</v>
      </c>
    </row>
    <row r="14" spans="1:12">
      <c r="A14">
        <f>A13+0.5</f>
        <v>9.5</v>
      </c>
      <c r="E14" s="16">
        <f>VLOOKUP($A14,'Groups results'!$A$2:$J$31,E$1,FALSE)</f>
        <v>1</v>
      </c>
      <c r="F14" s="16">
        <f>VLOOKUP($A14,'Groups results'!$A$2:$J$31,F$1,FALSE)</f>
        <v>1</v>
      </c>
      <c r="G14" s="16">
        <f>VLOOKUP($A14,'Groups results'!$A$2:$J$31,G$1,FALSE)</f>
        <v>1</v>
      </c>
      <c r="H14" s="16">
        <f>VLOOKUP($A14,'Groups results'!$A$2:$J$31,H$1,FALSE)</f>
        <v>17</v>
      </c>
      <c r="I14" s="16">
        <f>VLOOKUP($A14,'Groups results'!$A$2:$J$31,I$1,FALSE)</f>
        <v>4</v>
      </c>
      <c r="J14" s="16">
        <f>VLOOKUP($A14,'Groups results'!$A$2:$J$31,J$1,FALSE)</f>
        <v>10</v>
      </c>
      <c r="K14" s="16">
        <f>VLOOKUP($A14,'Groups results'!$A$2:$J$31,K$1,FALSE)</f>
        <v>7</v>
      </c>
      <c r="L14" s="16">
        <f>VLOOKUP($A14,'Groups results'!$A$2:$J$31,L$1,FALSE)</f>
        <v>23</v>
      </c>
    </row>
    <row r="15" spans="1:12">
      <c r="A15">
        <v>3</v>
      </c>
      <c r="C15" t="s">
        <v>186</v>
      </c>
      <c r="D15">
        <f>VLOOKUP($A15,'Technology FEs table'!$A$2:$C$16,3)</f>
        <v>1882</v>
      </c>
      <c r="E15" s="16">
        <f>VLOOKUP($A15,'Groups results'!$A$2:$J$31,E$1,FALSE)</f>
        <v>-36.958129999999997</v>
      </c>
      <c r="F15" s="16">
        <f>VLOOKUP($A15,'Groups results'!$A$2:$J$31,F$1,FALSE)</f>
        <v>-42.36853</v>
      </c>
      <c r="G15" s="16">
        <f>VLOOKUP($A15,'Groups results'!$A$2:$J$31,G$1,FALSE)</f>
        <v>-31.37659</v>
      </c>
      <c r="H15" s="16">
        <f>VLOOKUP($A15,'Groups results'!$A$2:$J$31,H$1,FALSE)</f>
        <v>-26.767469999999999</v>
      </c>
      <c r="I15" s="16">
        <f>VLOOKUP($A15,'Groups results'!$A$2:$J$31,I$1,FALSE)</f>
        <v>9.4788820000000005</v>
      </c>
      <c r="J15" s="16">
        <f>VLOOKUP($A15,'Groups results'!$A$2:$J$31,J$1,FALSE)</f>
        <v>-4.6929449999999999</v>
      </c>
      <c r="K15" s="16">
        <f>VLOOKUP($A15,'Groups results'!$A$2:$J$31,K$1,FALSE)</f>
        <v>13.13565</v>
      </c>
      <c r="L15" s="16">
        <f>VLOOKUP($A15,'Groups results'!$A$2:$J$31,L$1,FALSE)</f>
        <v>8.1617610000000003</v>
      </c>
    </row>
    <row r="16" spans="1:12">
      <c r="A16">
        <f>A15+0.5</f>
        <v>3.5</v>
      </c>
      <c r="E16" s="16">
        <f>VLOOKUP($A16,'Groups results'!$A$2:$J$31,E$1,FALSE)</f>
        <v>1</v>
      </c>
      <c r="F16" s="16">
        <f>VLOOKUP($A16,'Groups results'!$A$2:$J$31,F$1,FALSE)</f>
        <v>1</v>
      </c>
      <c r="G16" s="16">
        <f>VLOOKUP($A16,'Groups results'!$A$2:$J$31,G$1,FALSE)</f>
        <v>1</v>
      </c>
      <c r="H16" s="16">
        <f>VLOOKUP($A16,'Groups results'!$A$2:$J$31,H$1,FALSE)</f>
        <v>16</v>
      </c>
      <c r="I16" s="16">
        <f>VLOOKUP($A16,'Groups results'!$A$2:$J$31,I$1,FALSE)</f>
        <v>4</v>
      </c>
      <c r="J16" s="16">
        <f>VLOOKUP($A16,'Groups results'!$A$2:$J$31,J$1,FALSE)</f>
        <v>15</v>
      </c>
      <c r="K16" s="16">
        <f>VLOOKUP($A16,'Groups results'!$A$2:$J$31,K$1,FALSE)</f>
        <v>23</v>
      </c>
      <c r="L16" s="16">
        <f>VLOOKUP($A16,'Groups results'!$A$2:$J$31,L$1,FALSE)</f>
        <v>33</v>
      </c>
    </row>
    <row r="17" spans="1:12">
      <c r="A17">
        <v>1</v>
      </c>
      <c r="C17" t="s">
        <v>180</v>
      </c>
      <c r="D17">
        <f>VLOOKUP($A17,'Technology FEs table'!$A$2:$C$16,3)</f>
        <v>1885</v>
      </c>
      <c r="E17" s="16">
        <f>VLOOKUP($A17,'Groups results'!$A$2:$J$31,E$1,FALSE)</f>
        <v>-29.448119999999999</v>
      </c>
      <c r="F17" s="16">
        <f>VLOOKUP($A17,'Groups results'!$A$2:$J$31,F$1,FALSE)</f>
        <v>-29.750979999999998</v>
      </c>
      <c r="G17" s="16">
        <f>VLOOKUP($A17,'Groups results'!$A$2:$J$31,G$1,FALSE)</f>
        <v>-14.99048</v>
      </c>
      <c r="H17" s="16">
        <f>VLOOKUP($A17,'Groups results'!$A$2:$J$31,H$1,FALSE)</f>
        <v>-13.30674</v>
      </c>
      <c r="I17" s="16">
        <f>VLOOKUP($A17,'Groups results'!$A$2:$J$31,I$1,FALSE)</f>
        <v>18.89227</v>
      </c>
      <c r="J17" s="16">
        <f>VLOOKUP($A17,'Groups results'!$A$2:$J$31,J$1,FALSE)</f>
        <v>-6.0088080000000001</v>
      </c>
      <c r="K17" s="16">
        <f>VLOOKUP($A17,'Groups results'!$A$2:$J$31,K$1,FALSE)</f>
        <v>10.109439999999999</v>
      </c>
      <c r="L17" s="16">
        <f>VLOOKUP($A17,'Groups results'!$A$2:$J$31,L$1,FALSE)</f>
        <v>8.4013559999999998</v>
      </c>
    </row>
    <row r="18" spans="1:12">
      <c r="A18">
        <f>A17+0.5</f>
        <v>1.5</v>
      </c>
      <c r="E18" s="16">
        <f>VLOOKUP($A18,'Groups results'!$A$2:$J$31,E$1,FALSE)</f>
        <v>1</v>
      </c>
      <c r="F18" s="16">
        <f>VLOOKUP($A18,'Groups results'!$A$2:$J$31,F$1,FALSE)</f>
        <v>1</v>
      </c>
      <c r="G18" s="16">
        <f>VLOOKUP($A18,'Groups results'!$A$2:$J$31,G$1,FALSE)</f>
        <v>1</v>
      </c>
      <c r="H18" s="16">
        <f>VLOOKUP($A18,'Groups results'!$A$2:$J$31,H$1,FALSE)</f>
        <v>18</v>
      </c>
      <c r="I18" s="16">
        <f>VLOOKUP($A18,'Groups results'!$A$2:$J$31,I$1,FALSE)</f>
        <v>4</v>
      </c>
      <c r="J18" s="16">
        <f>VLOOKUP($A18,'Groups results'!$A$2:$J$31,J$1,FALSE)</f>
        <v>13</v>
      </c>
      <c r="K18" s="16">
        <f>VLOOKUP($A18,'Groups results'!$A$2:$J$31,K$1,FALSE)</f>
        <v>13</v>
      </c>
      <c r="L18" s="16">
        <f>VLOOKUP($A18,'Groups results'!$A$2:$J$31,L$1,FALSE)</f>
        <v>22</v>
      </c>
    </row>
    <row r="19" spans="1:12">
      <c r="A19">
        <v>4</v>
      </c>
      <c r="C19" t="s">
        <v>181</v>
      </c>
      <c r="D19">
        <f>VLOOKUP($A19,'Technology FEs table'!$A$2:$C$16,3)</f>
        <v>1885</v>
      </c>
      <c r="E19" s="16">
        <f>VLOOKUP($A19,'Groups results'!$A$2:$J$31,E$1,FALSE)</f>
        <v>-20.783570000000001</v>
      </c>
      <c r="F19" s="16">
        <f>VLOOKUP($A19,'Groups results'!$A$2:$J$31,F$1,FALSE)</f>
        <v>0</v>
      </c>
      <c r="G19" s="16">
        <f>VLOOKUP($A19,'Groups results'!$A$2:$J$31,G$1,FALSE)</f>
        <v>-10.356809999999999</v>
      </c>
      <c r="H19" s="16">
        <f>VLOOKUP($A19,'Groups results'!$A$2:$J$31,H$1,FALSE)</f>
        <v>-13.036659999999999</v>
      </c>
      <c r="I19" s="16">
        <f>VLOOKUP($A19,'Groups results'!$A$2:$J$31,I$1,FALSE)</f>
        <v>23.27383</v>
      </c>
      <c r="J19" s="16">
        <f>VLOOKUP($A19,'Groups results'!$A$2:$J$31,J$1,FALSE)</f>
        <v>-9.3181910000000006</v>
      </c>
      <c r="K19" s="16">
        <f>VLOOKUP($A19,'Groups results'!$A$2:$J$31,K$1,FALSE)</f>
        <v>22.668119999999998</v>
      </c>
      <c r="L19" s="16">
        <f>VLOOKUP($A19,'Groups results'!$A$2:$J$31,L$1,FALSE)</f>
        <v>11.281090000000001</v>
      </c>
    </row>
    <row r="20" spans="1:12">
      <c r="A20">
        <f>A19+0.5</f>
        <v>4.5</v>
      </c>
      <c r="E20" s="16">
        <f>VLOOKUP($A20,'Groups results'!$A$2:$J$31,E$1,FALSE)</f>
        <v>1</v>
      </c>
      <c r="F20" s="16">
        <f>VLOOKUP($A20,'Groups results'!$A$2:$J$31,F$1,FALSE)</f>
        <v>0</v>
      </c>
      <c r="G20" s="16">
        <f>VLOOKUP($A20,'Groups results'!$A$2:$J$31,G$1,FALSE)</f>
        <v>1</v>
      </c>
      <c r="H20" s="16">
        <f>VLOOKUP($A20,'Groups results'!$A$2:$J$31,H$1,FALSE)</f>
        <v>18</v>
      </c>
      <c r="I20" s="16">
        <f>VLOOKUP($A20,'Groups results'!$A$2:$J$31,I$1,FALSE)</f>
        <v>4</v>
      </c>
      <c r="J20" s="16">
        <f>VLOOKUP($A20,'Groups results'!$A$2:$J$31,J$1,FALSE)</f>
        <v>13</v>
      </c>
      <c r="K20" s="16">
        <f>VLOOKUP($A20,'Groups results'!$A$2:$J$31,K$1,FALSE)</f>
        <v>5</v>
      </c>
      <c r="L20" s="16">
        <f>VLOOKUP($A20,'Groups results'!$A$2:$J$31,L$1,FALSE)</f>
        <v>16</v>
      </c>
    </row>
    <row r="21" spans="1:12">
      <c r="A21">
        <v>11</v>
      </c>
      <c r="C21" t="s">
        <v>176</v>
      </c>
      <c r="D21">
        <f>VLOOKUP($A21,'Technology FEs table'!$A$2:$C$16,3)</f>
        <v>1903</v>
      </c>
      <c r="E21" s="16">
        <f>VLOOKUP($A21,'Groups results'!$A$2:$J$31,E$1,FALSE)</f>
        <v>-7.7302249999999999</v>
      </c>
      <c r="F21" s="16">
        <f>VLOOKUP($A21,'Groups results'!$A$2:$J$31,F$1,FALSE)</f>
        <v>-12.355219999999999</v>
      </c>
      <c r="G21" s="16">
        <f>VLOOKUP($A21,'Groups results'!$A$2:$J$31,G$1,FALSE)</f>
        <v>-8.030151</v>
      </c>
      <c r="H21" s="16">
        <f>VLOOKUP($A21,'Groups results'!$A$2:$J$31,H$1,FALSE)</f>
        <v>-5.1144499999999997</v>
      </c>
      <c r="I21" s="16">
        <f>VLOOKUP($A21,'Groups results'!$A$2:$J$31,I$1,FALSE)</f>
        <v>19.184159999999999</v>
      </c>
      <c r="J21" s="16">
        <f>VLOOKUP($A21,'Groups results'!$A$2:$J$31,J$1,FALSE)</f>
        <v>-4.9482600000000003</v>
      </c>
      <c r="K21" s="16">
        <f>VLOOKUP($A21,'Groups results'!$A$2:$J$31,K$1,FALSE)</f>
        <v>37.693480000000001</v>
      </c>
      <c r="L21" s="16">
        <f>VLOOKUP($A21,'Groups results'!$A$2:$J$31,L$1,FALSE)</f>
        <v>3.8049460000000002</v>
      </c>
    </row>
    <row r="22" spans="1:12">
      <c r="A22">
        <f>A21+0.5</f>
        <v>11.5</v>
      </c>
      <c r="E22" s="16">
        <f>VLOOKUP($A22,'Groups results'!$A$2:$J$31,E$1,FALSE)</f>
        <v>1</v>
      </c>
      <c r="F22" s="16">
        <f>VLOOKUP($A22,'Groups results'!$A$2:$J$31,F$1,FALSE)</f>
        <v>1</v>
      </c>
      <c r="G22" s="16">
        <f>VLOOKUP($A22,'Groups results'!$A$2:$J$31,G$1,FALSE)</f>
        <v>1</v>
      </c>
      <c r="H22" s="16">
        <f>VLOOKUP($A22,'Groups results'!$A$2:$J$31,H$1,FALSE)</f>
        <v>19</v>
      </c>
      <c r="I22" s="16">
        <f>VLOOKUP($A22,'Groups results'!$A$2:$J$31,I$1,FALSE)</f>
        <v>3</v>
      </c>
      <c r="J22" s="16">
        <f>VLOOKUP($A22,'Groups results'!$A$2:$J$31,J$1,FALSE)</f>
        <v>7</v>
      </c>
      <c r="K22" s="16">
        <f>VLOOKUP($A22,'Groups results'!$A$2:$J$31,K$1,FALSE)</f>
        <v>1</v>
      </c>
      <c r="L22" s="16">
        <f>VLOOKUP($A22,'Groups results'!$A$2:$J$31,L$1,FALSE)</f>
        <v>17</v>
      </c>
    </row>
    <row r="23" spans="1:12">
      <c r="A23">
        <v>10</v>
      </c>
      <c r="C23" t="s">
        <v>177</v>
      </c>
      <c r="D23">
        <f>VLOOKUP($A23,'Technology FEs table'!$A$2:$C$16,3)</f>
        <v>1903</v>
      </c>
      <c r="E23" s="16">
        <f>VLOOKUP($A23,'Groups results'!$A$2:$J$31,E$1,FALSE)</f>
        <v>-19.090450000000001</v>
      </c>
      <c r="F23" s="16">
        <f>VLOOKUP($A23,'Groups results'!$A$2:$J$31,F$1,FALSE)</f>
        <v>0</v>
      </c>
      <c r="G23" s="16">
        <f>VLOOKUP($A23,'Groups results'!$A$2:$J$31,G$1,FALSE)</f>
        <v>-7.342041</v>
      </c>
      <c r="H23" s="16">
        <f>VLOOKUP($A23,'Groups results'!$A$2:$J$31,H$1,FALSE)</f>
        <v>-4.1891660000000002</v>
      </c>
      <c r="I23" s="16">
        <f>VLOOKUP($A23,'Groups results'!$A$2:$J$31,I$1,FALSE)</f>
        <v>14.119339999999999</v>
      </c>
      <c r="J23" s="16">
        <f>VLOOKUP($A23,'Groups results'!$A$2:$J$31,J$1,FALSE)</f>
        <v>-10.860900000000001</v>
      </c>
      <c r="K23" s="16">
        <f>VLOOKUP($A23,'Groups results'!$A$2:$J$31,K$1,FALSE)</f>
        <v>30.463989999999999</v>
      </c>
      <c r="L23" s="16">
        <f>VLOOKUP($A23,'Groups results'!$A$2:$J$31,L$1,FALSE)</f>
        <v>4.2474980000000002</v>
      </c>
    </row>
    <row r="24" spans="1:12">
      <c r="A24">
        <f>A23+0.5</f>
        <v>10.5</v>
      </c>
      <c r="E24" s="16">
        <f>VLOOKUP($A24,'Groups results'!$A$2:$J$31,E$1,FALSE)</f>
        <v>1</v>
      </c>
      <c r="F24" s="16">
        <f>VLOOKUP($A24,'Groups results'!$A$2:$J$31,F$1,FALSE)</f>
        <v>0</v>
      </c>
      <c r="G24" s="16">
        <f>VLOOKUP($A24,'Groups results'!$A$2:$J$31,G$1,FALSE)</f>
        <v>1</v>
      </c>
      <c r="H24" s="16">
        <f>VLOOKUP($A24,'Groups results'!$A$2:$J$31,H$1,FALSE)</f>
        <v>14</v>
      </c>
      <c r="I24" s="16">
        <f>VLOOKUP($A24,'Groups results'!$A$2:$J$31,I$1,FALSE)</f>
        <v>3</v>
      </c>
      <c r="J24" s="16">
        <f>VLOOKUP($A24,'Groups results'!$A$2:$J$31,J$1,FALSE)</f>
        <v>2</v>
      </c>
      <c r="K24" s="16">
        <f>VLOOKUP($A24,'Groups results'!$A$2:$J$31,K$1,FALSE)</f>
        <v>1</v>
      </c>
      <c r="L24" s="16">
        <f>VLOOKUP($A24,'Groups results'!$A$2:$J$31,L$1,FALSE)</f>
        <v>8</v>
      </c>
    </row>
    <row r="25" spans="1:12">
      <c r="A25">
        <v>5</v>
      </c>
      <c r="C25" t="s">
        <v>185</v>
      </c>
      <c r="D25">
        <f>VLOOKUP($A25,'Technology FEs table'!$A$2:$C$16,3)</f>
        <v>1950</v>
      </c>
      <c r="E25" s="16">
        <f>VLOOKUP($A25,'Groups results'!$A$2:$J$31,E$1,FALSE)</f>
        <v>-7.4783939999999998</v>
      </c>
      <c r="F25" s="16">
        <f>VLOOKUP($A25,'Groups results'!$A$2:$J$31,F$1,FALSE)</f>
        <v>-6.7939449999999999</v>
      </c>
      <c r="G25" s="16">
        <f>VLOOKUP($A25,'Groups results'!$A$2:$J$31,G$1,FALSE)</f>
        <v>-6.5472409999999996</v>
      </c>
      <c r="H25" s="16">
        <f>VLOOKUP($A25,'Groups results'!$A$2:$J$31,H$1,FALSE)</f>
        <v>-1.838738</v>
      </c>
      <c r="I25" s="16">
        <f>VLOOKUP($A25,'Groups results'!$A$2:$J$31,I$1,FALSE)</f>
        <v>8.6428220000000007</v>
      </c>
      <c r="J25" s="16">
        <f>VLOOKUP($A25,'Groups results'!$A$2:$J$31,J$1,FALSE)</f>
        <v>0.78020020000000001</v>
      </c>
      <c r="K25" s="16">
        <f>VLOOKUP($A25,'Groups results'!$A$2:$J$31,K$1,FALSE)</f>
        <v>0</v>
      </c>
      <c r="L25" s="16">
        <f>VLOOKUP($A25,'Groups results'!$A$2:$J$31,L$1,FALSE)</f>
        <v>2.5741879999999999</v>
      </c>
    </row>
    <row r="26" spans="1:12">
      <c r="A26">
        <f>A25+0.5</f>
        <v>5.5</v>
      </c>
      <c r="E26" s="16">
        <f>VLOOKUP($A26,'Groups results'!$A$2:$J$31,E$1,FALSE)</f>
        <v>1</v>
      </c>
      <c r="F26" s="16">
        <f>VLOOKUP($A26,'Groups results'!$A$2:$J$31,F$1,FALSE)</f>
        <v>1</v>
      </c>
      <c r="G26" s="16">
        <f>VLOOKUP($A26,'Groups results'!$A$2:$J$31,G$1,FALSE)</f>
        <v>1</v>
      </c>
      <c r="H26" s="16">
        <f>VLOOKUP($A26,'Groups results'!$A$2:$J$31,H$1,FALSE)</f>
        <v>17</v>
      </c>
      <c r="I26" s="16">
        <f>VLOOKUP($A26,'Groups results'!$A$2:$J$31,I$1,FALSE)</f>
        <v>2</v>
      </c>
      <c r="J26" s="16">
        <f>VLOOKUP($A26,'Groups results'!$A$2:$J$31,J$1,FALSE)</f>
        <v>5</v>
      </c>
      <c r="K26" s="16">
        <f>VLOOKUP($A26,'Groups results'!$A$2:$J$31,K$1,FALSE)</f>
        <v>0</v>
      </c>
      <c r="L26" s="16">
        <f>VLOOKUP($A26,'Groups results'!$A$2:$J$31,L$1,FALSE)</f>
        <v>12</v>
      </c>
    </row>
    <row r="27" spans="1:12">
      <c r="A27">
        <v>12</v>
      </c>
      <c r="C27" t="s">
        <v>216</v>
      </c>
      <c r="D27">
        <f>VLOOKUP($A27,'Technology FEs table'!$A$2:$C$16,3)</f>
        <v>1973</v>
      </c>
      <c r="E27" s="16">
        <f>VLOOKUP($A27,'Groups results'!$A$2:$J$31,E$1,FALSE)</f>
        <v>-4.8068850000000003</v>
      </c>
      <c r="F27" s="16">
        <f>VLOOKUP($A27,'Groups results'!$A$2:$J$31,F$1,FALSE)</f>
        <v>-4.1431880000000003</v>
      </c>
      <c r="G27" s="16">
        <f>VLOOKUP($A27,'Groups results'!$A$2:$J$31,G$1,FALSE)</f>
        <v>-7.3078609999999999</v>
      </c>
      <c r="H27" s="16">
        <f>VLOOKUP($A27,'Groups results'!$A$2:$J$31,H$1,FALSE)</f>
        <v>-3.5913089999999999</v>
      </c>
      <c r="I27" s="16">
        <f>VLOOKUP($A27,'Groups results'!$A$2:$J$31,I$1,FALSE)</f>
        <v>-1.4613339999999999</v>
      </c>
      <c r="J27" s="16">
        <f>VLOOKUP($A27,'Groups results'!$A$2:$J$31,J$1,FALSE)</f>
        <v>2.1721759999999999</v>
      </c>
      <c r="K27" s="16">
        <f>VLOOKUP($A27,'Groups results'!$A$2:$J$31,K$1,FALSE)</f>
        <v>2.2124329999999999</v>
      </c>
      <c r="L27" s="16">
        <f>VLOOKUP($A27,'Groups results'!$A$2:$J$31,L$1,FALSE)</f>
        <v>1.17805</v>
      </c>
    </row>
    <row r="28" spans="1:12">
      <c r="A28">
        <f>A27+0.5</f>
        <v>12.5</v>
      </c>
      <c r="E28" s="16">
        <f>VLOOKUP($A28,'Groups results'!$A$2:$J$31,E$1,FALSE)</f>
        <v>1</v>
      </c>
      <c r="F28" s="16">
        <f>VLOOKUP($A28,'Groups results'!$A$2:$J$31,F$1,FALSE)</f>
        <v>1</v>
      </c>
      <c r="G28" s="16">
        <f>VLOOKUP($A28,'Groups results'!$A$2:$J$31,G$1,FALSE)</f>
        <v>1</v>
      </c>
      <c r="H28" s="16">
        <f>VLOOKUP($A28,'Groups results'!$A$2:$J$31,H$1,FALSE)</f>
        <v>19</v>
      </c>
      <c r="I28" s="16">
        <f>VLOOKUP($A28,'Groups results'!$A$2:$J$31,I$1,FALSE)</f>
        <v>4</v>
      </c>
      <c r="J28" s="16">
        <f>VLOOKUP($A28,'Groups results'!$A$2:$J$31,J$1,FALSE)</f>
        <v>15</v>
      </c>
      <c r="K28" s="16">
        <f>VLOOKUP($A28,'Groups results'!$A$2:$J$31,K$1,FALSE)</f>
        <v>8</v>
      </c>
      <c r="L28" s="16">
        <f>VLOOKUP($A28,'Groups results'!$A$2:$J$31,L$1,FALSE)</f>
        <v>34</v>
      </c>
    </row>
    <row r="29" spans="1:12">
      <c r="A29">
        <v>2</v>
      </c>
      <c r="C29" t="s">
        <v>187</v>
      </c>
      <c r="D29">
        <f>VLOOKUP($A29,'Technology FEs table'!$A$2:$C$16,3)</f>
        <v>1973</v>
      </c>
      <c r="E29" s="16">
        <f>VLOOKUP($A29,'Groups results'!$A$2:$J$31,E$1,FALSE)</f>
        <v>-6.297485</v>
      </c>
      <c r="F29" s="16">
        <f>VLOOKUP($A29,'Groups results'!$A$2:$J$31,F$1,FALSE)</f>
        <v>-4.1529540000000003</v>
      </c>
      <c r="G29" s="16">
        <f>VLOOKUP($A29,'Groups results'!$A$2:$J$31,G$1,FALSE)</f>
        <v>-2.9956049999999999</v>
      </c>
      <c r="H29" s="16">
        <f>VLOOKUP($A29,'Groups results'!$A$2:$J$31,H$1,FALSE)</f>
        <v>-1.4344030000000001</v>
      </c>
      <c r="I29" s="16">
        <f>VLOOKUP($A29,'Groups results'!$A$2:$J$31,I$1,FALSE)</f>
        <v>0.3624674</v>
      </c>
      <c r="J29" s="16">
        <f>VLOOKUP($A29,'Groups results'!$A$2:$J$31,J$1,FALSE)</f>
        <v>1.576611</v>
      </c>
      <c r="K29" s="16">
        <f>VLOOKUP($A29,'Groups results'!$A$2:$J$31,K$1,FALSE)</f>
        <v>0.22914119999999999</v>
      </c>
      <c r="L29" s="16">
        <f>VLOOKUP($A29,'Groups results'!$A$2:$J$31,L$1,FALSE)</f>
        <v>0.81529859999999998</v>
      </c>
    </row>
    <row r="30" spans="1:12">
      <c r="A30">
        <f>A29+0.5</f>
        <v>2.5</v>
      </c>
      <c r="E30" s="16">
        <f>VLOOKUP($A30,'Groups results'!$A$2:$J$31,E$1,FALSE)</f>
        <v>1</v>
      </c>
      <c r="F30" s="16">
        <f>VLOOKUP($A30,'Groups results'!$A$2:$J$31,F$1,FALSE)</f>
        <v>1</v>
      </c>
      <c r="G30" s="16">
        <f>VLOOKUP($A30,'Groups results'!$A$2:$J$31,G$1,FALSE)</f>
        <v>1</v>
      </c>
      <c r="H30" s="16">
        <f>VLOOKUP($A30,'Groups results'!$A$2:$J$31,H$1,FALSE)</f>
        <v>19</v>
      </c>
      <c r="I30" s="16">
        <f>VLOOKUP($A30,'Groups results'!$A$2:$J$31,I$1,FALSE)</f>
        <v>3</v>
      </c>
      <c r="J30" s="16">
        <f>VLOOKUP($A30,'Groups results'!$A$2:$J$31,J$1,FALSE)</f>
        <v>10</v>
      </c>
      <c r="K30" s="16">
        <f>VLOOKUP($A30,'Groups results'!$A$2:$J$31,K$1,FALSE)</f>
        <v>8</v>
      </c>
      <c r="L30" s="16">
        <f>VLOOKUP($A30,'Groups results'!$A$2:$J$31,L$1,FALSE)</f>
        <v>27</v>
      </c>
    </row>
    <row r="31" spans="1:12">
      <c r="A31">
        <v>14</v>
      </c>
      <c r="C31" t="s">
        <v>741</v>
      </c>
      <c r="D31">
        <f>VLOOKUP($A31,'Technology FEs table'!$A$2:$C$16,3)</f>
        <v>1977</v>
      </c>
      <c r="E31" s="16">
        <f>VLOOKUP($A31,'Groups results'!$A$2:$J$31,E$1,FALSE)</f>
        <v>-2.3796390000000001</v>
      </c>
      <c r="F31" s="16">
        <f>VLOOKUP($A31,'Groups results'!$A$2:$J$31,F$1,FALSE)</f>
        <v>0</v>
      </c>
      <c r="G31" s="16">
        <f>VLOOKUP($A31,'Groups results'!$A$2:$J$31,G$1,FALSE)</f>
        <v>0</v>
      </c>
      <c r="H31" s="16">
        <f>VLOOKUP($A31,'Groups results'!$A$2:$J$31,H$1,FALSE)</f>
        <v>0.50600590000000001</v>
      </c>
      <c r="I31" s="16">
        <f>VLOOKUP($A31,'Groups results'!$A$2:$J$31,I$1,FALSE)</f>
        <v>0</v>
      </c>
      <c r="J31" s="16">
        <f>VLOOKUP($A31,'Groups results'!$A$2:$J$31,J$1,FALSE)</f>
        <v>0</v>
      </c>
      <c r="K31" s="16">
        <f>VLOOKUP($A31,'Groups results'!$A$2:$J$31,K$1,FALSE)</f>
        <v>0</v>
      </c>
      <c r="L31" s="16">
        <f>VLOOKUP($A31,'Groups results'!$A$2:$J$31,L$1,FALSE)</f>
        <v>-2.679932</v>
      </c>
    </row>
    <row r="32" spans="1:12">
      <c r="A32">
        <f>A31+0.5</f>
        <v>14.5</v>
      </c>
      <c r="E32" s="16">
        <f>VLOOKUP($A32,'Groups results'!$A$2:$J$31,E$1,FALSE)</f>
        <v>1</v>
      </c>
      <c r="F32" s="16">
        <f>VLOOKUP($A32,'Groups results'!$A$2:$J$31,F$1,FALSE)</f>
        <v>0</v>
      </c>
      <c r="G32" s="16">
        <f>VLOOKUP($A32,'Groups results'!$A$2:$J$31,G$1,FALSE)</f>
        <v>0</v>
      </c>
      <c r="H32" s="16">
        <f>VLOOKUP($A32,'Groups results'!$A$2:$J$31,H$1,FALSE)</f>
        <v>10</v>
      </c>
      <c r="I32" s="16">
        <f>VLOOKUP($A32,'Groups results'!$A$2:$J$31,I$1,FALSE)</f>
        <v>0</v>
      </c>
      <c r="J32" s="16">
        <f>VLOOKUP($A32,'Groups results'!$A$2:$J$31,J$1,FALSE)</f>
        <v>0</v>
      </c>
      <c r="K32" s="16">
        <f>VLOOKUP($A32,'Groups results'!$A$2:$J$31,K$1,FALSE)</f>
        <v>0</v>
      </c>
      <c r="L32" s="16">
        <f>VLOOKUP($A32,'Groups results'!$A$2:$J$31,L$1,FALSE)</f>
        <v>1</v>
      </c>
    </row>
    <row r="33" spans="1:12">
      <c r="A33">
        <v>13</v>
      </c>
      <c r="C33" t="s">
        <v>184</v>
      </c>
      <c r="D33">
        <f>VLOOKUP($A33,'Technology FEs table'!$A$2:$C$16,3)</f>
        <v>1983</v>
      </c>
      <c r="E33" s="16">
        <f>VLOOKUP($A33,'Groups results'!$A$2:$J$31,E$1,FALSE)</f>
        <v>-3.3962400000000001</v>
      </c>
      <c r="F33" s="16">
        <f>VLOOKUP($A33,'Groups results'!$A$2:$J$31,F$1,FALSE)</f>
        <v>-1.5535890000000001</v>
      </c>
      <c r="G33" s="16">
        <f>VLOOKUP($A33,'Groups results'!$A$2:$J$31,G$1,FALSE)</f>
        <v>-1.102417</v>
      </c>
      <c r="H33" s="16">
        <f>VLOOKUP($A33,'Groups results'!$A$2:$J$31,H$1,FALSE)</f>
        <v>-2.0641509999999998</v>
      </c>
      <c r="I33" s="16">
        <f>VLOOKUP($A33,'Groups results'!$A$2:$J$31,I$1,FALSE)</f>
        <v>-0.54943850000000005</v>
      </c>
      <c r="J33" s="16">
        <f>VLOOKUP($A33,'Groups results'!$A$2:$J$31,J$1,FALSE)</f>
        <v>0.88989260000000003</v>
      </c>
      <c r="K33" s="16">
        <f>VLOOKUP($A33,'Groups results'!$A$2:$J$31,K$1,FALSE)</f>
        <v>1.366984</v>
      </c>
      <c r="L33" s="16">
        <f>VLOOKUP($A33,'Groups results'!$A$2:$J$31,L$1,FALSE)</f>
        <v>1.641456</v>
      </c>
    </row>
    <row r="34" spans="1:12">
      <c r="A34">
        <f>A33+0.5</f>
        <v>13.5</v>
      </c>
      <c r="E34" s="16">
        <f>VLOOKUP($A34,'Groups results'!$A$2:$J$31,E$1,FALSE)</f>
        <v>1</v>
      </c>
      <c r="F34" s="16">
        <f>VLOOKUP($A34,'Groups results'!$A$2:$J$31,F$1,FALSE)</f>
        <v>1</v>
      </c>
      <c r="G34" s="16">
        <f>VLOOKUP($A34,'Groups results'!$A$2:$J$31,G$1,FALSE)</f>
        <v>1</v>
      </c>
      <c r="H34" s="16">
        <f>VLOOKUP($A34,'Groups results'!$A$2:$J$31,H$1,FALSE)</f>
        <v>19</v>
      </c>
      <c r="I34" s="16">
        <f>VLOOKUP($A34,'Groups results'!$A$2:$J$31,I$1,FALSE)</f>
        <v>4</v>
      </c>
      <c r="J34" s="16">
        <f>VLOOKUP($A34,'Groups results'!$A$2:$J$31,J$1,FALSE)</f>
        <v>10</v>
      </c>
      <c r="K34" s="16">
        <f>VLOOKUP($A34,'Groups results'!$A$2:$J$31,K$1,FALSE)</f>
        <v>3</v>
      </c>
      <c r="L34" s="16">
        <f>VLOOKUP($A34,'Groups results'!$A$2:$J$31,L$1,FALSE)</f>
        <v>21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>
    <tabColor indexed="11"/>
  </sheetPr>
  <dimension ref="A1:G6"/>
  <sheetViews>
    <sheetView workbookViewId="0">
      <selection activeCell="O21" sqref="O21"/>
    </sheetView>
  </sheetViews>
  <sheetFormatPr defaultRowHeight="12.75"/>
  <sheetData>
    <row r="1" spans="1:7">
      <c r="C1">
        <v>1</v>
      </c>
      <c r="D1">
        <v>4</v>
      </c>
      <c r="E1">
        <v>2</v>
      </c>
      <c r="F1">
        <v>3</v>
      </c>
      <c r="G1">
        <v>5</v>
      </c>
    </row>
    <row r="3" spans="1:7">
      <c r="A3">
        <v>1</v>
      </c>
      <c r="C3" t="str">
        <f t="shared" ref="C3:G6" si="0">INDEX(EATtable,$A3,C$1)</f>
        <v>technology</v>
      </c>
      <c r="D3" s="18" t="str">
        <f t="shared" si="0"/>
        <v>Singapore</v>
      </c>
      <c r="E3" s="18" t="str">
        <f t="shared" si="0"/>
        <v>Hong Kong</v>
      </c>
      <c r="F3" s="18" t="str">
        <f t="shared" si="0"/>
        <v>South Korea</v>
      </c>
      <c r="G3" s="18" t="str">
        <f t="shared" si="0"/>
        <v>Taiwan</v>
      </c>
    </row>
    <row r="4" spans="1:7">
      <c r="A4">
        <v>4</v>
      </c>
      <c r="C4" t="str">
        <f t="shared" si="0"/>
        <v>PCs</v>
      </c>
      <c r="D4" s="8">
        <f t="shared" si="0"/>
        <v>1987.1559999999999</v>
      </c>
      <c r="E4" s="8">
        <f t="shared" si="0"/>
        <v>1987.1289999999999</v>
      </c>
      <c r="F4" s="8">
        <f t="shared" si="0"/>
        <v>1987.673</v>
      </c>
      <c r="G4" s="8">
        <f t="shared" si="0"/>
        <v>0</v>
      </c>
    </row>
    <row r="5" spans="1:7">
      <c r="A5">
        <v>2</v>
      </c>
      <c r="C5" t="str">
        <f t="shared" si="0"/>
        <v>Cellphones</v>
      </c>
      <c r="D5" s="8">
        <f t="shared" si="0"/>
        <v>1986.787</v>
      </c>
      <c r="E5" s="8">
        <f t="shared" si="0"/>
        <v>1983.6469999999999</v>
      </c>
      <c r="F5" s="8">
        <f t="shared" si="0"/>
        <v>1985.7190000000001</v>
      </c>
      <c r="G5" s="8">
        <f t="shared" si="0"/>
        <v>1988.4570000000001</v>
      </c>
    </row>
    <row r="6" spans="1:7">
      <c r="A6">
        <v>3</v>
      </c>
      <c r="C6" t="str">
        <f t="shared" si="0"/>
        <v>Internet</v>
      </c>
      <c r="D6" s="8">
        <f t="shared" si="0"/>
        <v>1990.4359999999999</v>
      </c>
      <c r="E6" s="8">
        <f t="shared" si="0"/>
        <v>1990.1579999999999</v>
      </c>
      <c r="F6" s="8">
        <f t="shared" si="0"/>
        <v>1989.701</v>
      </c>
      <c r="G6" s="8">
        <f t="shared" si="0"/>
        <v>1990.7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 enableFormatConditionsCalculation="0">
    <tabColor indexed="55"/>
  </sheetPr>
  <dimension ref="A1:S187"/>
  <sheetViews>
    <sheetView zoomScale="130" workbookViewId="0">
      <selection activeCell="A3" sqref="A3"/>
    </sheetView>
  </sheetViews>
  <sheetFormatPr defaultRowHeight="12.75"/>
  <sheetData>
    <row r="1" spans="1:19">
      <c r="A1" t="s">
        <v>214</v>
      </c>
      <c r="B1">
        <v>1.4E-2</v>
      </c>
      <c r="F1" s="22" t="s">
        <v>528</v>
      </c>
      <c r="G1" s="22"/>
      <c r="H1" s="3"/>
      <c r="I1" s="22" t="s">
        <v>708</v>
      </c>
      <c r="J1" s="22"/>
      <c r="K1" s="3"/>
      <c r="L1" s="22" t="s">
        <v>174</v>
      </c>
      <c r="M1" s="22"/>
      <c r="N1" s="3"/>
      <c r="O1" s="3"/>
      <c r="P1" s="4"/>
    </row>
    <row r="2" spans="1:19">
      <c r="A2" t="str">
        <f>'List of countries'!A1</f>
        <v>no</v>
      </c>
      <c r="B2" t="str">
        <f>'List of countries'!B1</f>
        <v>Country</v>
      </c>
      <c r="C2" t="str">
        <f>'List of countries'!C1</f>
        <v>Name</v>
      </c>
      <c r="D2" t="str">
        <f>'List of countries'!D1</f>
        <v>Group</v>
      </c>
      <c r="E2" t="str">
        <f>'List of countries'!E1</f>
        <v>Klenow mnemonic</v>
      </c>
      <c r="F2" t="s">
        <v>707</v>
      </c>
      <c r="G2" t="s">
        <v>215</v>
      </c>
      <c r="H2" t="s">
        <v>734</v>
      </c>
      <c r="I2" t="s">
        <v>707</v>
      </c>
      <c r="J2" t="s">
        <v>736</v>
      </c>
      <c r="K2" t="s">
        <v>215</v>
      </c>
      <c r="L2" t="s">
        <v>734</v>
      </c>
      <c r="M2" t="s">
        <v>213</v>
      </c>
      <c r="N2" t="s">
        <v>529</v>
      </c>
      <c r="O2" t="s">
        <v>734</v>
      </c>
      <c r="P2" t="s">
        <v>735</v>
      </c>
      <c r="Q2" t="s">
        <v>711</v>
      </c>
      <c r="R2" t="s">
        <v>710</v>
      </c>
      <c r="S2" t="s">
        <v>740</v>
      </c>
    </row>
    <row r="3" spans="1:19">
      <c r="A3">
        <f>'List of countries'!A2</f>
        <v>1</v>
      </c>
      <c r="B3" t="str">
        <f>'List of countries'!B2</f>
        <v>AFG</v>
      </c>
      <c r="C3" t="str">
        <f>'List of countries'!C2</f>
        <v>Afghanistan</v>
      </c>
      <c r="D3" t="str">
        <f>'List of countries'!D2</f>
        <v>other</v>
      </c>
      <c r="E3">
        <f>'List of countries'!E2</f>
        <v>0</v>
      </c>
      <c r="F3" t="e">
        <f>-LN(VLOOKUP($B3,'Klenow - RC'!$B$2:$F$93,2,FALSE))</f>
        <v>#N/A</v>
      </c>
      <c r="G3" t="e">
        <f>LN(VLOOKUP($B3,'Klenow - RC'!$B$2:$F$93,5,FALSE))</f>
        <v>#N/A</v>
      </c>
      <c r="H3" t="e">
        <f>EXP(G3)</f>
        <v>#N/A</v>
      </c>
      <c r="I3">
        <f>-LN(VLOOKUP($B3,'Dev Acc 2000'!$D$4:$O$191,4,FALSE))+LN('Dev Acc 2000'!$G$150)</f>
        <v>4.2749503382868443</v>
      </c>
      <c r="J3">
        <f>-I3</f>
        <v>-4.2749503382868443</v>
      </c>
      <c r="K3" t="e">
        <f>LN(VLOOKUP($B3,'Dev Acc 2000'!$D$4:$O$191,11,FALSE))-LN('Dev Acc 2000'!$N$150)</f>
        <v>#N/A</v>
      </c>
      <c r="L3" t="e">
        <f>EXP(K3)</f>
        <v>#N/A</v>
      </c>
      <c r="M3">
        <f>VLOOKUP(A3,'Country FEs'!$A$3:$H$173,3)-US_avg_adoption_lag</f>
        <v>47.544640000000001</v>
      </c>
      <c r="N3">
        <f>-$B$1*M3</f>
        <v>-0.66562496000000004</v>
      </c>
      <c r="O3">
        <f>EXP(N3)</f>
        <v>0.51395222773302984</v>
      </c>
      <c r="P3">
        <f>N3/0.7</f>
        <v>-0.95089280000000009</v>
      </c>
      <c r="Q3" t="e">
        <f>G3*$L$171+$M$171</f>
        <v>#N/A</v>
      </c>
      <c r="R3" t="e">
        <f>$M$177+$L$177*K3</f>
        <v>#N/A</v>
      </c>
      <c r="S3">
        <f>$M$183+$L$183*J3</f>
        <v>-1.030861571467669</v>
      </c>
    </row>
    <row r="4" spans="1:19">
      <c r="A4">
        <f>'List of countries'!A3</f>
        <v>2</v>
      </c>
      <c r="B4" t="str">
        <f>'List of countries'!B3</f>
        <v>ALB</v>
      </c>
      <c r="C4" t="str">
        <f>'List of countries'!C3</f>
        <v>Albania</v>
      </c>
      <c r="D4" t="str">
        <f>'List of countries'!D3</f>
        <v>other</v>
      </c>
      <c r="E4">
        <f>'List of countries'!E3</f>
        <v>0</v>
      </c>
      <c r="F4" t="e">
        <f>-LN(VLOOKUP($B4,'Klenow - RC'!$B$2:$F$93,2,FALSE))</f>
        <v>#N/A</v>
      </c>
      <c r="G4" t="e">
        <f>LN(VLOOKUP($B4,'Klenow - RC'!$B$2:$F$93,5,FALSE))</f>
        <v>#N/A</v>
      </c>
      <c r="H4" t="e">
        <f t="shared" ref="H4:H67" si="0">EXP(G4)</f>
        <v>#N/A</v>
      </c>
      <c r="I4">
        <f>-LN(VLOOKUP($B4,'Dev Acc 2000'!$D$4:$O$191,4,FALSE))+LN('Dev Acc 2000'!$G$150)</f>
        <v>2.2028640946138101</v>
      </c>
      <c r="J4">
        <f t="shared" ref="J4:J67" si="1">-I4</f>
        <v>-2.2028640946138101</v>
      </c>
      <c r="K4" t="e">
        <f>LN(VLOOKUP($B4,'Dev Acc 2000'!$D$4:$O$191,11,FALSE))-LN('Dev Acc 2000'!$N$150)</f>
        <v>#N/A</v>
      </c>
      <c r="L4" t="e">
        <f t="shared" ref="L4:L67" si="2">EXP(K4)</f>
        <v>#N/A</v>
      </c>
      <c r="M4">
        <f>VLOOKUP(A4,'Country FEs'!$A$3:$H$173,3)-US_avg_adoption_lag</f>
        <v>46.816240000000001</v>
      </c>
      <c r="N4">
        <f t="shared" ref="N4:N67" si="3">-$B$1*M4</f>
        <v>-0.65542736000000001</v>
      </c>
      <c r="O4">
        <f t="shared" ref="O4:O67" si="4">EXP(N4)</f>
        <v>0.51922012125498263</v>
      </c>
      <c r="P4">
        <f t="shared" ref="P4:P67" si="5">N4/0.7</f>
        <v>-0.93632480000000007</v>
      </c>
      <c r="Q4" t="e">
        <f t="shared" ref="Q4:Q67" si="6">G4*$L$171+$M$171</f>
        <v>#N/A</v>
      </c>
      <c r="R4" t="e">
        <f t="shared" ref="R4:R67" si="7">$M$177+$L$177*K4</f>
        <v>#N/A</v>
      </c>
      <c r="S4">
        <f t="shared" ref="S4:S67" si="8">$M$183+$L$183*J4</f>
        <v>-0.71065230437453553</v>
      </c>
    </row>
    <row r="5" spans="1:19">
      <c r="A5">
        <f>'List of countries'!A4</f>
        <v>3</v>
      </c>
      <c r="B5" t="str">
        <f>'List of countries'!B4</f>
        <v>ALG</v>
      </c>
      <c r="C5" t="str">
        <f>'List of countries'!C4</f>
        <v>Algeria</v>
      </c>
      <c r="D5" t="str">
        <f>'List of countries'!D4</f>
        <v>other</v>
      </c>
      <c r="E5">
        <f>'List of countries'!E4</f>
        <v>0</v>
      </c>
      <c r="F5">
        <f>-LN(VLOOKUP($B5,'Klenow - RC'!$B$2:$F$93,2,FALSE))</f>
        <v>0.916290731874155</v>
      </c>
      <c r="G5">
        <f>LN(VLOOKUP($B5,'Klenow - RC'!$B$2:$F$93,5,FALSE))</f>
        <v>-1.0050335853501451E-2</v>
      </c>
      <c r="H5">
        <f t="shared" si="0"/>
        <v>0.99</v>
      </c>
      <c r="I5">
        <f>-LN(VLOOKUP($B5,'Dev Acc 2000'!$D$4:$O$191,4,FALSE))+LN('Dev Acc 2000'!$G$150)</f>
        <v>1.7872814095100988</v>
      </c>
      <c r="J5">
        <f t="shared" si="1"/>
        <v>-1.7872814095100988</v>
      </c>
      <c r="K5">
        <f>LN(VLOOKUP($B5,'Dev Acc 2000'!$D$4:$O$191,11,FALSE))-LN('Dev Acc 2000'!$N$150)</f>
        <v>-0.81729088729258059</v>
      </c>
      <c r="L5">
        <f t="shared" si="2"/>
        <v>0.44162645118665972</v>
      </c>
      <c r="M5">
        <f>VLOOKUP(A5,'Country FEs'!$A$3:$H$173,3)-US_avg_adoption_lag</f>
        <v>19.303170000000001</v>
      </c>
      <c r="N5">
        <f t="shared" si="3"/>
        <v>-0.27024438000000001</v>
      </c>
      <c r="O5">
        <f t="shared" si="4"/>
        <v>0.7631929624492868</v>
      </c>
      <c r="P5">
        <f t="shared" si="5"/>
        <v>-0.38606340000000006</v>
      </c>
      <c r="Q5">
        <f t="shared" si="6"/>
        <v>-0.31476090050666355</v>
      </c>
      <c r="R5">
        <f t="shared" si="7"/>
        <v>-0.40258740024866635</v>
      </c>
      <c r="S5">
        <f t="shared" si="8"/>
        <v>-0.64643035057315013</v>
      </c>
    </row>
    <row r="6" spans="1:19">
      <c r="A6">
        <f>'List of countries'!A5</f>
        <v>4</v>
      </c>
      <c r="B6" t="str">
        <f>'List of countries'!B5</f>
        <v>ANG</v>
      </c>
      <c r="C6" t="str">
        <f>'List of countries'!C5</f>
        <v>Angola</v>
      </c>
      <c r="D6" t="str">
        <f>'List of countries'!D5</f>
        <v>SubSaharan</v>
      </c>
      <c r="E6">
        <f>'List of countries'!E5</f>
        <v>0</v>
      </c>
      <c r="F6" t="e">
        <f>-LN(VLOOKUP($B6,'Klenow - RC'!$B$2:$F$93,2,FALSE))</f>
        <v>#N/A</v>
      </c>
      <c r="G6" t="e">
        <f>LN(VLOOKUP($B6,'Klenow - RC'!$B$2:$F$93,5,FALSE))</f>
        <v>#N/A</v>
      </c>
      <c r="H6" t="e">
        <f t="shared" si="0"/>
        <v>#N/A</v>
      </c>
      <c r="I6">
        <f>-LN(VLOOKUP($B6,'Dev Acc 2000'!$D$4:$O$191,4,FALSE))+LN('Dev Acc 2000'!$G$150)</f>
        <v>2.8564671235681622</v>
      </c>
      <c r="J6">
        <f t="shared" si="1"/>
        <v>-2.8564671235681622</v>
      </c>
      <c r="K6" t="e">
        <f>NA()</f>
        <v>#N/A</v>
      </c>
      <c r="L6" t="e">
        <f t="shared" si="2"/>
        <v>#N/A</v>
      </c>
      <c r="M6" t="e">
        <f>VLOOKUP(A6,'Country FEs'!$A$3:$H$173,3)-US_avg_adoption_lag</f>
        <v>#N/A</v>
      </c>
      <c r="N6" t="e">
        <f t="shared" si="3"/>
        <v>#N/A</v>
      </c>
      <c r="O6" t="e">
        <f t="shared" si="4"/>
        <v>#N/A</v>
      </c>
      <c r="P6" t="e">
        <f t="shared" si="5"/>
        <v>#N/A</v>
      </c>
      <c r="Q6" t="e">
        <f t="shared" si="6"/>
        <v>#N/A</v>
      </c>
      <c r="R6" t="e">
        <f t="shared" si="7"/>
        <v>#N/A</v>
      </c>
      <c r="S6">
        <f t="shared" si="8"/>
        <v>-0.81165666532253011</v>
      </c>
    </row>
    <row r="7" spans="1:19">
      <c r="A7">
        <f>'List of countries'!A6</f>
        <v>5</v>
      </c>
      <c r="B7" t="str">
        <f>'List of countries'!B6</f>
        <v>ARG</v>
      </c>
      <c r="C7" t="str">
        <f>'List of countries'!C6</f>
        <v>Argentina</v>
      </c>
      <c r="D7" t="str">
        <f>'List of countries'!D6</f>
        <v>Latin</v>
      </c>
      <c r="E7">
        <f>'List of countries'!E6</f>
        <v>0</v>
      </c>
      <c r="F7">
        <f>-LN(VLOOKUP($B7,'Klenow - RC'!$B$2:$F$93,2,FALSE))</f>
        <v>0.82098055206983023</v>
      </c>
      <c r="G7">
        <f>LN(VLOOKUP($B7,'Klenow - RC'!$B$2:$F$93,5,FALSE))</f>
        <v>-0.44628710262841947</v>
      </c>
      <c r="H7">
        <f t="shared" si="0"/>
        <v>0.64</v>
      </c>
      <c r="I7">
        <f>-LN(VLOOKUP($B7,'Dev Acc 2000'!$D$4:$O$191,4,FALSE))+LN('Dev Acc 2000'!$G$150)</f>
        <v>1.1093971935490359</v>
      </c>
      <c r="J7">
        <f t="shared" si="1"/>
        <v>-1.1093971935490359</v>
      </c>
      <c r="K7">
        <f>LN(VLOOKUP($B7,'Dev Acc 2000'!$D$4:$O$191,11,FALSE))-LN('Dev Acc 2000'!$N$150)</f>
        <v>-0.83653889523867164</v>
      </c>
      <c r="L7">
        <f t="shared" si="2"/>
        <v>0.433207307546358</v>
      </c>
      <c r="M7">
        <f>VLOOKUP(A7,'Country FEs'!$A$3:$H$173,3)-US_avg_adoption_lag</f>
        <v>14.403000000000006</v>
      </c>
      <c r="N7">
        <f t="shared" si="3"/>
        <v>-0.2016420000000001</v>
      </c>
      <c r="O7">
        <f t="shared" si="4"/>
        <v>0.81738750029376606</v>
      </c>
      <c r="P7">
        <f t="shared" si="5"/>
        <v>-0.28806000000000015</v>
      </c>
      <c r="Q7">
        <f t="shared" si="6"/>
        <v>-0.3807069531858624</v>
      </c>
      <c r="R7">
        <f t="shared" si="7"/>
        <v>-0.40503993070088673</v>
      </c>
      <c r="S7">
        <f t="shared" si="8"/>
        <v>-0.54167370319436103</v>
      </c>
    </row>
    <row r="8" spans="1:19">
      <c r="A8">
        <f>'List of countries'!A7</f>
        <v>6</v>
      </c>
      <c r="B8" t="str">
        <f>'List of countries'!B7</f>
        <v>ARM</v>
      </c>
      <c r="C8" t="str">
        <f>'List of countries'!C7</f>
        <v>Armenia</v>
      </c>
      <c r="D8" t="str">
        <f>'List of countries'!D7</f>
        <v>other</v>
      </c>
      <c r="E8">
        <f>'List of countries'!E7</f>
        <v>0</v>
      </c>
      <c r="F8" t="e">
        <f>-LN(VLOOKUP($B8,'Klenow - RC'!$B$2:$F$93,2,FALSE))</f>
        <v>#N/A</v>
      </c>
      <c r="G8" t="e">
        <f>LN(VLOOKUP($B8,'Klenow - RC'!$B$2:$F$93,5,FALSE))</f>
        <v>#N/A</v>
      </c>
      <c r="H8" t="e">
        <f t="shared" si="0"/>
        <v>#N/A</v>
      </c>
      <c r="I8">
        <f>-LN(VLOOKUP($B8,'Dev Acc 2000'!$D$4:$O$191,4,FALSE))+LN('Dev Acc 2000'!$G$150)</f>
        <v>2.2924635187890576</v>
      </c>
      <c r="J8">
        <f t="shared" si="1"/>
        <v>-2.2924635187890576</v>
      </c>
      <c r="K8" t="e">
        <f>LN(VLOOKUP($B8,'Dev Acc 2000'!$D$4:$O$191,11,FALSE))-LN('Dev Acc 2000'!$N$150)</f>
        <v>#N/A</v>
      </c>
      <c r="L8" t="e">
        <f t="shared" si="2"/>
        <v>#N/A</v>
      </c>
      <c r="M8">
        <f>VLOOKUP(A8,'Country FEs'!$A$3:$H$173,3)-US_avg_adoption_lag</f>
        <v>25.570160000000001</v>
      </c>
      <c r="N8">
        <f t="shared" si="3"/>
        <v>-0.35798224000000001</v>
      </c>
      <c r="O8">
        <f t="shared" si="4"/>
        <v>0.69908549065458836</v>
      </c>
      <c r="P8">
        <f t="shared" si="5"/>
        <v>-0.51140320000000006</v>
      </c>
      <c r="Q8" t="e">
        <f t="shared" si="6"/>
        <v>#N/A</v>
      </c>
      <c r="R8" t="e">
        <f t="shared" si="7"/>
        <v>#N/A</v>
      </c>
      <c r="S8">
        <f t="shared" si="8"/>
        <v>-0.72449852628480949</v>
      </c>
    </row>
    <row r="9" spans="1:19">
      <c r="A9">
        <f>'List of countries'!A8</f>
        <v>7</v>
      </c>
      <c r="B9" t="str">
        <f>'List of countries'!B8</f>
        <v>AUL</v>
      </c>
      <c r="C9" t="str">
        <f>'List of countries'!C8</f>
        <v>Australia</v>
      </c>
      <c r="D9" t="str">
        <f>'List of countries'!D8</f>
        <v>OECD</v>
      </c>
      <c r="E9">
        <f>'List of countries'!E8</f>
        <v>0</v>
      </c>
      <c r="F9">
        <f>-LN(VLOOKUP($B9,'Klenow - RC'!$B$2:$F$93,2,FALSE))</f>
        <v>0.15082288973458366</v>
      </c>
      <c r="G9">
        <f>LN(VLOOKUP($B9,'Klenow - RC'!$B$2:$F$93,5,FALSE))</f>
        <v>-0.16251892949777494</v>
      </c>
      <c r="H9">
        <f t="shared" si="0"/>
        <v>0.85</v>
      </c>
      <c r="I9">
        <f>-LN(VLOOKUP($B9,'Dev Acc 2000'!$D$4:$O$191,4,FALSE))+LN('Dev Acc 2000'!$G$150)</f>
        <v>0.28531172790736825</v>
      </c>
      <c r="J9">
        <f t="shared" si="1"/>
        <v>-0.28531172790736825</v>
      </c>
      <c r="K9">
        <f>LN(VLOOKUP($B9,'Dev Acc 2000'!$D$4:$O$191,11,FALSE))-LN('Dev Acc 2000'!$N$150)</f>
        <v>-0.37187634097657174</v>
      </c>
      <c r="L9">
        <f t="shared" si="2"/>
        <v>0.68943949266751514</v>
      </c>
      <c r="M9">
        <f>VLOOKUP(A9,'Country FEs'!$A$3:$H$173,3)-US_avg_adoption_lag</f>
        <v>12.095300000000009</v>
      </c>
      <c r="N9">
        <f t="shared" si="3"/>
        <v>-0.16933420000000013</v>
      </c>
      <c r="O9">
        <f t="shared" si="4"/>
        <v>0.84422671566671692</v>
      </c>
      <c r="P9">
        <f t="shared" si="5"/>
        <v>-0.2419060000000002</v>
      </c>
      <c r="Q9">
        <f t="shared" si="6"/>
        <v>-0.33780962696482675</v>
      </c>
      <c r="R9">
        <f t="shared" si="7"/>
        <v>-0.34583385246536097</v>
      </c>
      <c r="S9">
        <f t="shared" si="8"/>
        <v>-0.41432388665995767</v>
      </c>
    </row>
    <row r="10" spans="1:19">
      <c r="A10">
        <f>'List of countries'!A9</f>
        <v>8</v>
      </c>
      <c r="B10" t="str">
        <f>'List of countries'!B9</f>
        <v>AUS</v>
      </c>
      <c r="C10" t="str">
        <f>'List of countries'!C9</f>
        <v>Austria</v>
      </c>
      <c r="D10" t="str">
        <f>'List of countries'!D9</f>
        <v>OECD</v>
      </c>
      <c r="E10">
        <f>'List of countries'!E9</f>
        <v>0</v>
      </c>
      <c r="F10">
        <f>-LN(VLOOKUP($B10,'Klenow - RC'!$B$2:$F$93,2,FALSE))</f>
        <v>0.34249030894677601</v>
      </c>
      <c r="G10">
        <f>LN(VLOOKUP($B10,'Klenow - RC'!$B$2:$F$93,5,FALSE))</f>
        <v>-0.12783337150988489</v>
      </c>
      <c r="H10">
        <f t="shared" si="0"/>
        <v>0.88</v>
      </c>
      <c r="I10">
        <f>-LN(VLOOKUP($B10,'Dev Acc 2000'!$D$4:$O$191,4,FALSE))+LN('Dev Acc 2000'!$G$150)</f>
        <v>0.24119584536981087</v>
      </c>
      <c r="J10">
        <f t="shared" si="1"/>
        <v>-0.24119584536981087</v>
      </c>
      <c r="K10">
        <f>LN(VLOOKUP($B10,'Dev Acc 2000'!$D$4:$O$191,11,FALSE))-LN('Dev Acc 2000'!$N$150)</f>
        <v>-0.26694050715968132</v>
      </c>
      <c r="L10">
        <f t="shared" si="2"/>
        <v>0.76571862488618869</v>
      </c>
      <c r="M10">
        <f>VLOOKUP(A10,'Country FEs'!$A$3:$H$173,3)-US_avg_adoption_lag</f>
        <v>4.0960299999999989</v>
      </c>
      <c r="N10">
        <f t="shared" si="3"/>
        <v>-5.7344419999999986E-2</v>
      </c>
      <c r="O10">
        <f t="shared" si="4"/>
        <v>0.94426878829702066</v>
      </c>
      <c r="P10">
        <f t="shared" si="5"/>
        <v>-8.1920599999999982E-2</v>
      </c>
      <c r="Q10">
        <f t="shared" si="6"/>
        <v>-0.33256619998092696</v>
      </c>
      <c r="R10">
        <f t="shared" si="7"/>
        <v>-0.33246320503598259</v>
      </c>
      <c r="S10">
        <f t="shared" si="8"/>
        <v>-0.40750645111273964</v>
      </c>
    </row>
    <row r="11" spans="1:19">
      <c r="A11">
        <f>'List of countries'!A10</f>
        <v>10</v>
      </c>
      <c r="B11" t="str">
        <f>'List of countries'!B10</f>
        <v>AZE</v>
      </c>
      <c r="C11" t="str">
        <f>'List of countries'!C10</f>
        <v>Azerbaijan</v>
      </c>
      <c r="D11" t="str">
        <f>'List of countries'!D10</f>
        <v>other</v>
      </c>
      <c r="E11">
        <f>'List of countries'!E10</f>
        <v>0</v>
      </c>
      <c r="F11" t="e">
        <f>-LN(VLOOKUP($B11,'Klenow - RC'!$B$2:$F$93,2,FALSE))</f>
        <v>#N/A</v>
      </c>
      <c r="G11" t="e">
        <f>LN(VLOOKUP($B11,'Klenow - RC'!$B$2:$F$93,5,FALSE))</f>
        <v>#N/A</v>
      </c>
      <c r="H11" t="e">
        <f t="shared" si="0"/>
        <v>#N/A</v>
      </c>
      <c r="I11">
        <f>-LN(VLOOKUP($B11,'Dev Acc 2000'!$D$4:$O$191,4,FALSE))+LN('Dev Acc 2000'!$G$150)</f>
        <v>2.2586023741352115</v>
      </c>
      <c r="J11">
        <f t="shared" si="1"/>
        <v>-2.2586023741352115</v>
      </c>
      <c r="K11" t="e">
        <f>LN(VLOOKUP($B11,'Dev Acc 2000'!$D$4:$O$191,11,FALSE))-LN('Dev Acc 2000'!$N$150)</f>
        <v>#N/A</v>
      </c>
      <c r="L11" t="e">
        <f t="shared" si="2"/>
        <v>#N/A</v>
      </c>
      <c r="M11" t="e">
        <f>VLOOKUP(A11,'Country FEs'!$A$3:$H$173,3)-US_avg_adoption_lag</f>
        <v>#N/A</v>
      </c>
      <c r="N11" t="e">
        <f t="shared" si="3"/>
        <v>#N/A</v>
      </c>
      <c r="O11" t="e">
        <f t="shared" si="4"/>
        <v>#N/A</v>
      </c>
      <c r="P11" t="e">
        <f t="shared" si="5"/>
        <v>#N/A</v>
      </c>
      <c r="Q11" t="e">
        <f t="shared" si="6"/>
        <v>#N/A</v>
      </c>
      <c r="R11" t="e">
        <f t="shared" si="7"/>
        <v>#N/A</v>
      </c>
      <c r="S11">
        <f t="shared" si="8"/>
        <v>-0.71926580378320026</v>
      </c>
    </row>
    <row r="12" spans="1:19">
      <c r="A12">
        <f>'List of countries'!A11</f>
        <v>11</v>
      </c>
      <c r="B12" t="str">
        <f>'List of countries'!B11</f>
        <v>BAN</v>
      </c>
      <c r="C12" t="str">
        <f>'List of countries'!C11</f>
        <v>Bangladesh</v>
      </c>
      <c r="D12" t="str">
        <f>'List of countries'!D11</f>
        <v>other</v>
      </c>
      <c r="E12">
        <f>'List of countries'!E11</f>
        <v>0</v>
      </c>
      <c r="F12">
        <f>-LN(VLOOKUP($B12,'Klenow - RC'!$B$2:$F$93,2,FALSE))</f>
        <v>2.0402208285265546</v>
      </c>
      <c r="G12">
        <f>LN(VLOOKUP($B12,'Klenow - RC'!$B$2:$F$93,5,FALSE))</f>
        <v>-0.59783700075562041</v>
      </c>
      <c r="H12">
        <f t="shared" si="0"/>
        <v>0.55000000000000004</v>
      </c>
      <c r="I12">
        <f>-LN(VLOOKUP($B12,'Dev Acc 2000'!$D$4:$O$191,4,FALSE))+LN('Dev Acc 2000'!$G$150)</f>
        <v>2.9212136383516807</v>
      </c>
      <c r="J12">
        <f t="shared" si="1"/>
        <v>-2.9212136383516807</v>
      </c>
      <c r="K12">
        <f>LN(VLOOKUP($B12,'Dev Acc 2000'!$D$4:$O$191,11,FALSE))-LN('Dev Acc 2000'!$N$150)</f>
        <v>-1.4866680806370365</v>
      </c>
      <c r="L12">
        <f t="shared" si="2"/>
        <v>0.22612483145319046</v>
      </c>
      <c r="M12">
        <f>VLOOKUP(A12,'Country FEs'!$A$3:$H$173,3)-US_avg_adoption_lag</f>
        <v>51.344540000000009</v>
      </c>
      <c r="N12">
        <f t="shared" si="3"/>
        <v>-0.71882356000000014</v>
      </c>
      <c r="O12">
        <f t="shared" si="4"/>
        <v>0.487325227751357</v>
      </c>
      <c r="P12">
        <f t="shared" si="5"/>
        <v>-1.0268908000000003</v>
      </c>
      <c r="Q12">
        <f t="shared" si="6"/>
        <v>-0.4036168001465158</v>
      </c>
      <c r="R12">
        <f t="shared" si="7"/>
        <v>-0.48787767835417067</v>
      </c>
      <c r="S12">
        <f t="shared" si="8"/>
        <v>-0.82166224984343028</v>
      </c>
    </row>
    <row r="13" spans="1:19">
      <c r="A13">
        <f>'List of countries'!A12</f>
        <v>12</v>
      </c>
      <c r="B13" t="str">
        <f>'List of countries'!B12</f>
        <v>BEL</v>
      </c>
      <c r="C13" t="str">
        <f>'List of countries'!C12</f>
        <v>Belarus</v>
      </c>
      <c r="D13" t="str">
        <f>'List of countries'!D12</f>
        <v>other</v>
      </c>
      <c r="E13">
        <f>'List of countries'!E12</f>
        <v>0</v>
      </c>
      <c r="F13" t="e">
        <f>-LN(VLOOKUP($B13,'Klenow - RC'!$B$2:$F$93,2,FALSE))</f>
        <v>#N/A</v>
      </c>
      <c r="G13" t="e">
        <f>LN(VLOOKUP($B13,'Klenow - RC'!$B$2:$F$93,5,FALSE))</f>
        <v>#N/A</v>
      </c>
      <c r="H13" t="e">
        <f t="shared" si="0"/>
        <v>#N/A</v>
      </c>
      <c r="I13">
        <f>-LN(VLOOKUP($B13,'Dev Acc 2000'!$D$4:$O$191,4,FALSE))+LN('Dev Acc 2000'!$G$150)</f>
        <v>1.2339324215640026</v>
      </c>
      <c r="J13">
        <f t="shared" si="1"/>
        <v>-1.2339324215640026</v>
      </c>
      <c r="K13" t="e">
        <f>LN(VLOOKUP($B13,'Dev Acc 2000'!$D$4:$O$191,11,FALSE))-LN('Dev Acc 2000'!$N$150)</f>
        <v>#N/A</v>
      </c>
      <c r="L13" t="e">
        <f t="shared" si="2"/>
        <v>#N/A</v>
      </c>
      <c r="M13">
        <f>VLOOKUP(A13,'Country FEs'!$A$3:$H$173,3)-US_avg_adoption_lag</f>
        <v>28.335280000000004</v>
      </c>
      <c r="N13">
        <f t="shared" si="3"/>
        <v>-0.39669392000000009</v>
      </c>
      <c r="O13">
        <f t="shared" si="4"/>
        <v>0.67253984512823162</v>
      </c>
      <c r="P13">
        <f t="shared" si="5"/>
        <v>-0.56670560000000014</v>
      </c>
      <c r="Q13" t="e">
        <f t="shared" si="6"/>
        <v>#N/A</v>
      </c>
      <c r="R13" t="e">
        <f t="shared" si="7"/>
        <v>#N/A</v>
      </c>
      <c r="S13">
        <f t="shared" si="8"/>
        <v>-0.56091871976242691</v>
      </c>
    </row>
    <row r="14" spans="1:19">
      <c r="A14">
        <f>'List of countries'!A13</f>
        <v>13</v>
      </c>
      <c r="B14" t="str">
        <f>'List of countries'!B13</f>
        <v>BLG</v>
      </c>
      <c r="C14" t="str">
        <f>'List of countries'!C13</f>
        <v>Belgium</v>
      </c>
      <c r="D14" t="str">
        <f>'List of countries'!D13</f>
        <v>OECD</v>
      </c>
      <c r="E14">
        <f>'List of countries'!E13</f>
        <v>0</v>
      </c>
      <c r="F14">
        <f>-LN(VLOOKUP($B14,'Klenow - RC'!$B$2:$F$93,2,FALSE))</f>
        <v>0.21072103131565253</v>
      </c>
      <c r="G14">
        <f>LN(VLOOKUP($B14,'Klenow - RC'!$B$2:$F$93,5,FALSE))</f>
        <v>-0.1743533871447778</v>
      </c>
      <c r="H14">
        <f t="shared" si="0"/>
        <v>0.84</v>
      </c>
      <c r="I14">
        <f>-LN(VLOOKUP($B14,'Dev Acc 2000'!$D$4:$O$191,4,FALSE))+LN('Dev Acc 2000'!$G$150)</f>
        <v>0.33176397095402343</v>
      </c>
      <c r="J14">
        <f t="shared" si="1"/>
        <v>-0.33176397095402343</v>
      </c>
      <c r="K14">
        <f>LN(VLOOKUP($B14,'Dev Acc 2000'!$D$4:$O$191,11,FALSE))-LN('Dev Acc 2000'!$N$150)</f>
        <v>-0.23155975094052828</v>
      </c>
      <c r="L14">
        <f t="shared" si="2"/>
        <v>0.79329529394706455</v>
      </c>
      <c r="M14">
        <f>VLOOKUP(A14,'Country FEs'!$A$3:$H$173,3)-US_avg_adoption_lag</f>
        <v>4.9881600000000077</v>
      </c>
      <c r="N14">
        <f t="shared" si="3"/>
        <v>-6.9834240000000103E-2</v>
      </c>
      <c r="O14">
        <f t="shared" si="4"/>
        <v>0.93254838631564585</v>
      </c>
      <c r="P14">
        <f t="shared" si="5"/>
        <v>-9.9763200000000149E-2</v>
      </c>
      <c r="Q14">
        <f t="shared" si="6"/>
        <v>-0.33959864574283743</v>
      </c>
      <c r="R14">
        <f t="shared" si="7"/>
        <v>-0.32795508231008358</v>
      </c>
      <c r="S14">
        <f t="shared" si="8"/>
        <v>-0.42150237102382987</v>
      </c>
    </row>
    <row r="15" spans="1:19">
      <c r="A15">
        <f>'List of countries'!A14</f>
        <v>14</v>
      </c>
      <c r="B15" t="str">
        <f>'List of countries'!B14</f>
        <v>BLZ</v>
      </c>
      <c r="C15" t="str">
        <f>'List of countries'!C14</f>
        <v>Belize</v>
      </c>
      <c r="D15" t="str">
        <f>'List of countries'!D14</f>
        <v>Latin</v>
      </c>
      <c r="E15">
        <f>'List of countries'!E14</f>
        <v>0</v>
      </c>
      <c r="F15" t="e">
        <f>-LN(VLOOKUP($B15,'Klenow - RC'!$B$2:$F$93,2,FALSE))</f>
        <v>#N/A</v>
      </c>
      <c r="G15" t="e">
        <f>LN(VLOOKUP($B15,'Klenow - RC'!$B$2:$F$93,5,FALSE))</f>
        <v>#N/A</v>
      </c>
      <c r="H15" t="e">
        <f t="shared" si="0"/>
        <v>#N/A</v>
      </c>
      <c r="I15">
        <f>-LN(VLOOKUP($B15,'Dev Acc 2000'!$D$4:$O$191,4,FALSE))+LN('Dev Acc 2000'!$G$150)</f>
        <v>1.7428597383847642</v>
      </c>
      <c r="J15">
        <f t="shared" si="1"/>
        <v>-1.7428597383847642</v>
      </c>
      <c r="K15" t="e">
        <f>LN(VLOOKUP($B15,'Dev Acc 2000'!$D$4:$O$191,11,FALSE))-LN('Dev Acc 2000'!$N$150)</f>
        <v>#N/A</v>
      </c>
      <c r="L15" t="e">
        <f t="shared" si="2"/>
        <v>#N/A</v>
      </c>
      <c r="M15" t="e">
        <f>VLOOKUP(A15,'Country FEs'!$A$3:$H$173,3)-US_avg_adoption_lag</f>
        <v>#N/A</v>
      </c>
      <c r="N15" t="e">
        <f t="shared" si="3"/>
        <v>#N/A</v>
      </c>
      <c r="O15" t="e">
        <f t="shared" si="4"/>
        <v>#N/A</v>
      </c>
      <c r="P15" t="e">
        <f t="shared" si="5"/>
        <v>#N/A</v>
      </c>
      <c r="Q15" t="e">
        <f t="shared" si="6"/>
        <v>#N/A</v>
      </c>
      <c r="R15" t="e">
        <f t="shared" si="7"/>
        <v>#N/A</v>
      </c>
      <c r="S15">
        <f t="shared" si="8"/>
        <v>-0.63956566007219806</v>
      </c>
    </row>
    <row r="16" spans="1:19">
      <c r="A16">
        <f>'List of countries'!A15</f>
        <v>15</v>
      </c>
      <c r="B16" t="str">
        <f>'List of countries'!B15</f>
        <v>BEN</v>
      </c>
      <c r="C16" t="str">
        <f>'List of countries'!C15</f>
        <v>Benin</v>
      </c>
      <c r="D16" t="str">
        <f>'List of countries'!D15</f>
        <v>SubSaharan</v>
      </c>
      <c r="E16">
        <f>'List of countries'!E15</f>
        <v>0</v>
      </c>
      <c r="F16">
        <f>-LN(VLOOKUP($B16,'Klenow - RC'!$B$2:$F$93,2,FALSE))</f>
        <v>2.6592600369327779</v>
      </c>
      <c r="G16">
        <f>LN(VLOOKUP($B16,'Klenow - RC'!$B$2:$F$93,5,FALSE))</f>
        <v>-1.3862943611198906</v>
      </c>
      <c r="H16">
        <f t="shared" si="0"/>
        <v>0.25</v>
      </c>
      <c r="I16">
        <f>-LN(VLOOKUP($B16,'Dev Acc 2000'!$D$4:$O$191,4,FALSE))+LN('Dev Acc 2000'!$G$150)</f>
        <v>3.3127024109685994</v>
      </c>
      <c r="J16">
        <f t="shared" si="1"/>
        <v>-3.3127024109685994</v>
      </c>
      <c r="K16">
        <f>LN(VLOOKUP($B16,'Dev Acc 2000'!$D$4:$O$191,11,FALSE))-LN('Dev Acc 2000'!$N$150)</f>
        <v>-1.7250585179721805</v>
      </c>
      <c r="L16">
        <f t="shared" si="2"/>
        <v>0.17816262575226924</v>
      </c>
      <c r="M16" t="e">
        <f>VLOOKUP(A16,'Country FEs'!$A$3:$H$173,3)-US_avg_adoption_lag</f>
        <v>#N/A</v>
      </c>
      <c r="N16" t="e">
        <f t="shared" si="3"/>
        <v>#N/A</v>
      </c>
      <c r="O16" t="e">
        <f t="shared" si="4"/>
        <v>#N/A</v>
      </c>
      <c r="P16" t="e">
        <f t="shared" si="5"/>
        <v>#N/A</v>
      </c>
      <c r="Q16">
        <f t="shared" si="6"/>
        <v>-0.52280815351704002</v>
      </c>
      <c r="R16">
        <f t="shared" si="7"/>
        <v>-0.518252759698695</v>
      </c>
      <c r="S16">
        <f t="shared" si="8"/>
        <v>-0.88216085762948482</v>
      </c>
    </row>
    <row r="17" spans="1:19">
      <c r="A17">
        <f>'List of countries'!A16</f>
        <v>16</v>
      </c>
      <c r="B17" t="str">
        <f>'List of countries'!B16</f>
        <v>BOL</v>
      </c>
      <c r="C17" t="str">
        <f>'List of countries'!C16</f>
        <v>Bolivia</v>
      </c>
      <c r="D17" t="str">
        <f>'List of countries'!D16</f>
        <v>Latin</v>
      </c>
      <c r="E17">
        <f>'List of countries'!E16</f>
        <v>0</v>
      </c>
      <c r="F17">
        <f>-LN(VLOOKUP($B17,'Klenow - RC'!$B$2:$F$93,2,FALSE))</f>
        <v>1.7719568419318752</v>
      </c>
      <c r="G17">
        <f>LN(VLOOKUP($B17,'Klenow - RC'!$B$2:$F$93,5,FALSE))</f>
        <v>-1.0498221244986778</v>
      </c>
      <c r="H17">
        <f t="shared" si="0"/>
        <v>0.34999999999999992</v>
      </c>
      <c r="I17">
        <f>-LN(VLOOKUP($B17,'Dev Acc 2000'!$D$4:$O$191,4,FALSE))+LN('Dev Acc 2000'!$G$150)</f>
        <v>2.4622993854918249</v>
      </c>
      <c r="J17">
        <f t="shared" si="1"/>
        <v>-2.4622993854918249</v>
      </c>
      <c r="K17">
        <f>LN(VLOOKUP($B17,'Dev Acc 2000'!$D$4:$O$191,11,FALSE))-LN('Dev Acc 2000'!$N$150)</f>
        <v>-1.5613411896962077</v>
      </c>
      <c r="L17">
        <f t="shared" si="2"/>
        <v>0.20985442777811503</v>
      </c>
      <c r="M17">
        <f>VLOOKUP(A17,'Country FEs'!$A$3:$H$173,3)-US_avg_adoption_lag</f>
        <v>32.788630000000005</v>
      </c>
      <c r="N17">
        <f t="shared" si="3"/>
        <v>-0.45904082000000007</v>
      </c>
      <c r="O17">
        <f t="shared" si="4"/>
        <v>0.63188945064566338</v>
      </c>
      <c r="P17">
        <f t="shared" si="5"/>
        <v>-0.65577260000000015</v>
      </c>
      <c r="Q17">
        <f t="shared" si="6"/>
        <v>-0.47194353702597047</v>
      </c>
      <c r="R17">
        <f t="shared" si="7"/>
        <v>-0.49739232913998255</v>
      </c>
      <c r="S17">
        <f t="shared" si="8"/>
        <v>-0.75074406435981711</v>
      </c>
    </row>
    <row r="18" spans="1:19">
      <c r="A18">
        <f>'List of countries'!A17</f>
        <v>17</v>
      </c>
      <c r="B18" t="str">
        <f>'List of countries'!B17</f>
        <v>BOS</v>
      </c>
      <c r="C18" t="str">
        <f>'List of countries'!C17</f>
        <v>Bosnia-Herzegovina</v>
      </c>
      <c r="D18" t="str">
        <f>'List of countries'!D17</f>
        <v>other</v>
      </c>
      <c r="E18">
        <f>'List of countries'!E17</f>
        <v>0</v>
      </c>
      <c r="F18" t="e">
        <f>-LN(VLOOKUP($B18,'Klenow - RC'!$B$2:$F$93,2,FALSE))</f>
        <v>#N/A</v>
      </c>
      <c r="G18" t="e">
        <f>LN(VLOOKUP($B18,'Klenow - RC'!$B$2:$F$93,5,FALSE))</f>
        <v>#N/A</v>
      </c>
      <c r="H18" t="e">
        <f t="shared" si="0"/>
        <v>#N/A</v>
      </c>
      <c r="I18">
        <f>-LN(VLOOKUP($B18,'Dev Acc 2000'!$D$4:$O$191,4,FALSE))+LN('Dev Acc 2000'!$G$150)</f>
        <v>2.4260939513008513</v>
      </c>
      <c r="J18">
        <f t="shared" si="1"/>
        <v>-2.4260939513008513</v>
      </c>
      <c r="K18" t="e">
        <f>LN(VLOOKUP($B18,'Dev Acc 2000'!$D$4:$O$191,11,FALSE))-LN('Dev Acc 2000'!$N$150)</f>
        <v>#N/A</v>
      </c>
      <c r="L18" t="e">
        <f t="shared" si="2"/>
        <v>#N/A</v>
      </c>
      <c r="M18">
        <f>VLOOKUP(A18,'Country FEs'!$A$3:$H$173,3)-US_avg_adoption_lag</f>
        <v>89.16194800000001</v>
      </c>
      <c r="N18">
        <f t="shared" si="3"/>
        <v>-1.2482672720000001</v>
      </c>
      <c r="O18">
        <f t="shared" si="4"/>
        <v>0.28700166208567479</v>
      </c>
      <c r="P18">
        <f t="shared" si="5"/>
        <v>-1.7832389600000003</v>
      </c>
      <c r="Q18" t="e">
        <f t="shared" si="6"/>
        <v>#N/A</v>
      </c>
      <c r="R18" t="e">
        <f t="shared" si="7"/>
        <v>#N/A</v>
      </c>
      <c r="S18">
        <f t="shared" si="8"/>
        <v>-0.74514906773142886</v>
      </c>
    </row>
    <row r="19" spans="1:19">
      <c r="A19">
        <f>'List of countries'!A18</f>
        <v>18</v>
      </c>
      <c r="B19" t="str">
        <f>'List of countries'!B18</f>
        <v>BOT</v>
      </c>
      <c r="C19" t="str">
        <f>'List of countries'!C18</f>
        <v>Botswana</v>
      </c>
      <c r="D19" t="str">
        <f>'List of countries'!D18</f>
        <v>SubSaharan</v>
      </c>
      <c r="E19">
        <f>'List of countries'!E18</f>
        <v>0</v>
      </c>
      <c r="F19">
        <f>-LN(VLOOKUP($B19,'Klenow - RC'!$B$2:$F$93,2,FALSE))</f>
        <v>1.6094379124341003</v>
      </c>
      <c r="G19">
        <f>LN(VLOOKUP($B19,'Klenow - RC'!$B$2:$F$93,5,FALSE))</f>
        <v>-0.59783700075562041</v>
      </c>
      <c r="H19">
        <f t="shared" si="0"/>
        <v>0.55000000000000004</v>
      </c>
      <c r="I19">
        <f>-LN(VLOOKUP($B19,'Dev Acc 2000'!$D$4:$O$191,4,FALSE))+LN('Dev Acc 2000'!$G$150)</f>
        <v>1.5551338378306419</v>
      </c>
      <c r="J19">
        <f t="shared" si="1"/>
        <v>-1.5551338378306419</v>
      </c>
      <c r="K19">
        <f>LN(VLOOKUP($B19,'Dev Acc 2000'!$D$4:$O$191,11,FALSE))-LN('Dev Acc 2000'!$N$150)</f>
        <v>-0.86226168923959889</v>
      </c>
      <c r="L19">
        <f t="shared" si="2"/>
        <v>0.42220610266152064</v>
      </c>
      <c r="M19">
        <f>VLOOKUP(A19,'Country FEs'!$A$3:$H$173,3)-US_avg_adoption_lag</f>
        <v>60.763260000000002</v>
      </c>
      <c r="N19">
        <f t="shared" si="3"/>
        <v>-0.85068564000000002</v>
      </c>
      <c r="O19">
        <f t="shared" si="4"/>
        <v>0.42712197961618042</v>
      </c>
      <c r="P19">
        <f t="shared" si="5"/>
        <v>-1.2152652000000002</v>
      </c>
      <c r="Q19">
        <f t="shared" si="6"/>
        <v>-0.4036168001465158</v>
      </c>
      <c r="R19">
        <f t="shared" si="7"/>
        <v>-0.40831746133055774</v>
      </c>
      <c r="S19">
        <f t="shared" si="8"/>
        <v>-0.61055549062853698</v>
      </c>
    </row>
    <row r="20" spans="1:19">
      <c r="A20">
        <f>'List of countries'!A19</f>
        <v>19</v>
      </c>
      <c r="B20" t="str">
        <f>'List of countries'!B19</f>
        <v>BRA</v>
      </c>
      <c r="C20" t="str">
        <f>'List of countries'!C19</f>
        <v>Brazil</v>
      </c>
      <c r="D20" t="str">
        <f>'List of countries'!D19</f>
        <v>Latin</v>
      </c>
      <c r="E20">
        <f>'List of countries'!E19</f>
        <v>0</v>
      </c>
      <c r="F20">
        <f>-LN(VLOOKUP($B20,'Klenow - RC'!$B$2:$F$93,2,FALSE))</f>
        <v>1.1394342831883648</v>
      </c>
      <c r="G20">
        <f>LN(VLOOKUP($B20,'Klenow - RC'!$B$2:$F$93,5,FALSE))</f>
        <v>-0.26136476413440751</v>
      </c>
      <c r="H20">
        <f t="shared" si="0"/>
        <v>0.77</v>
      </c>
      <c r="I20">
        <f>-LN(VLOOKUP($B20,'Dev Acc 2000'!$D$4:$O$191,4,FALSE))+LN('Dev Acc 2000'!$G$150)</f>
        <v>1.5638326876019217</v>
      </c>
      <c r="J20">
        <f t="shared" si="1"/>
        <v>-1.5638326876019217</v>
      </c>
      <c r="K20">
        <f>LN(VLOOKUP($B20,'Dev Acc 2000'!$D$4:$O$191,11,FALSE))-LN('Dev Acc 2000'!$N$150)</f>
        <v>-0.90827702595034943</v>
      </c>
      <c r="L20">
        <f t="shared" si="2"/>
        <v>0.40321836064396482</v>
      </c>
      <c r="M20">
        <f>VLOOKUP(A20,'Country FEs'!$A$3:$H$173,3)-US_avg_adoption_lag</f>
        <v>16.870609999999999</v>
      </c>
      <c r="N20">
        <f t="shared" si="3"/>
        <v>-0.23618854</v>
      </c>
      <c r="O20">
        <f t="shared" si="4"/>
        <v>0.78963178272095502</v>
      </c>
      <c r="P20">
        <f t="shared" si="5"/>
        <v>-0.33741220000000005</v>
      </c>
      <c r="Q20">
        <f t="shared" si="6"/>
        <v>-0.35275218365544619</v>
      </c>
      <c r="R20">
        <f t="shared" si="7"/>
        <v>-0.41418061427959874</v>
      </c>
      <c r="S20">
        <f t="shared" si="8"/>
        <v>-0.61189976494063181</v>
      </c>
    </row>
    <row r="21" spans="1:19">
      <c r="A21">
        <f>'List of countries'!A20</f>
        <v>20</v>
      </c>
      <c r="B21" t="str">
        <f>'List of countries'!B20</f>
        <v>BUL</v>
      </c>
      <c r="C21" t="str">
        <f>'List of countries'!C20</f>
        <v>Bulgaria</v>
      </c>
      <c r="D21" t="str">
        <f>'List of countries'!D20</f>
        <v>other</v>
      </c>
      <c r="E21">
        <f>'List of countries'!E20</f>
        <v>0</v>
      </c>
      <c r="F21" t="e">
        <f>-LN(VLOOKUP($B21,'Klenow - RC'!$B$2:$F$93,2,FALSE))</f>
        <v>#N/A</v>
      </c>
      <c r="G21" t="e">
        <f>LN(VLOOKUP($B21,'Klenow - RC'!$B$2:$F$93,5,FALSE))</f>
        <v>#N/A</v>
      </c>
      <c r="H21" t="e">
        <f t="shared" si="0"/>
        <v>#N/A</v>
      </c>
      <c r="I21">
        <f>-LN(VLOOKUP($B21,'Dev Acc 2000'!$D$4:$O$191,4,FALSE))+LN('Dev Acc 2000'!$G$150)</f>
        <v>1.5549882124118373</v>
      </c>
      <c r="J21">
        <f t="shared" si="1"/>
        <v>-1.5549882124118373</v>
      </c>
      <c r="K21" t="e">
        <f>LN(VLOOKUP($B21,'Dev Acc 2000'!$D$4:$O$191,11,FALSE))-LN('Dev Acc 2000'!$N$150)</f>
        <v>#N/A</v>
      </c>
      <c r="L21" t="e">
        <f t="shared" si="2"/>
        <v>#N/A</v>
      </c>
      <c r="M21">
        <f>VLOOKUP(A21,'Country FEs'!$A$3:$H$173,3)-US_avg_adoption_lag</f>
        <v>19.755160000000004</v>
      </c>
      <c r="N21">
        <f t="shared" si="3"/>
        <v>-0.27657224000000008</v>
      </c>
      <c r="O21">
        <f t="shared" si="4"/>
        <v>0.75837883186596422</v>
      </c>
      <c r="P21">
        <f t="shared" si="5"/>
        <v>-0.39510320000000015</v>
      </c>
      <c r="Q21" t="e">
        <f t="shared" si="6"/>
        <v>#N/A</v>
      </c>
      <c r="R21" t="e">
        <f t="shared" si="7"/>
        <v>#N/A</v>
      </c>
      <c r="S21">
        <f t="shared" si="8"/>
        <v>-0.61053298644524445</v>
      </c>
    </row>
    <row r="22" spans="1:19">
      <c r="A22">
        <f>'List of countries'!A21</f>
        <v>21</v>
      </c>
      <c r="B22" t="str">
        <f>'List of countries'!B21</f>
        <v>BKF</v>
      </c>
      <c r="C22" t="str">
        <f>'List of countries'!C21</f>
        <v>Burkina Faso</v>
      </c>
      <c r="D22" t="str">
        <f>'List of countries'!D21</f>
        <v>SubSaharan</v>
      </c>
      <c r="E22">
        <f>'List of countries'!E21</f>
        <v>0</v>
      </c>
      <c r="F22" t="e">
        <f>-LN(VLOOKUP($B22,'Klenow - RC'!$B$2:$F$93,2,FALSE))</f>
        <v>#N/A</v>
      </c>
      <c r="G22" t="e">
        <f>LN(VLOOKUP($B22,'Klenow - RC'!$B$2:$F$93,5,FALSE))</f>
        <v>#N/A</v>
      </c>
      <c r="H22" t="e">
        <f t="shared" si="0"/>
        <v>#N/A</v>
      </c>
      <c r="I22">
        <f>-LN(VLOOKUP($B22,'Dev Acc 2000'!$D$4:$O$191,4,FALSE))+LN('Dev Acc 2000'!$G$150)</f>
        <v>3.6061512653694789</v>
      </c>
      <c r="J22">
        <f t="shared" si="1"/>
        <v>-3.6061512653694789</v>
      </c>
      <c r="K22">
        <f>LN(VLOOKUP($B22,'Dev Acc 2000'!$D$4:$O$191,11,FALSE))-LN('Dev Acc 2000'!$N$150)</f>
        <v>-2.4244098231199951</v>
      </c>
      <c r="L22">
        <f t="shared" si="2"/>
        <v>8.8530352194215539E-2</v>
      </c>
      <c r="M22">
        <f>VLOOKUP(A22,'Country FEs'!$A$3:$H$173,3)-US_avg_adoption_lag</f>
        <v>33.018360000000001</v>
      </c>
      <c r="N22">
        <f t="shared" si="3"/>
        <v>-0.46225704000000001</v>
      </c>
      <c r="O22">
        <f t="shared" si="4"/>
        <v>0.62986041981052043</v>
      </c>
      <c r="P22">
        <f t="shared" si="5"/>
        <v>-0.66036720000000004</v>
      </c>
      <c r="Q22" t="e">
        <f t="shared" si="6"/>
        <v>#N/A</v>
      </c>
      <c r="R22">
        <f t="shared" si="7"/>
        <v>-0.60736226014564298</v>
      </c>
      <c r="S22">
        <f t="shared" si="8"/>
        <v>-0.9275088941235935</v>
      </c>
    </row>
    <row r="23" spans="1:19">
      <c r="A23">
        <f>'List of countries'!A22</f>
        <v>22</v>
      </c>
      <c r="B23" t="str">
        <f>'List of countries'!B22</f>
        <v>BUR</v>
      </c>
      <c r="C23" t="str">
        <f>'List of countries'!C22</f>
        <v>Burundi</v>
      </c>
      <c r="D23" t="str">
        <f>'List of countries'!D22</f>
        <v>SubSaharan</v>
      </c>
      <c r="E23">
        <f>'List of countries'!E22</f>
        <v>0</v>
      </c>
      <c r="F23" t="e">
        <f>-LN(VLOOKUP($B23,'Klenow - RC'!$B$2:$F$93,2,FALSE))</f>
        <v>#N/A</v>
      </c>
      <c r="G23" t="e">
        <f>LN(VLOOKUP($B23,'Klenow - RC'!$B$2:$F$93,5,FALSE))</f>
        <v>#N/A</v>
      </c>
      <c r="H23" t="e">
        <f t="shared" si="0"/>
        <v>#N/A</v>
      </c>
      <c r="I23">
        <f>-LN(VLOOKUP($B23,'Dev Acc 2000'!$D$4:$O$191,4,FALSE))+LN('Dev Acc 2000'!$G$150)</f>
        <v>3.8953521797819999</v>
      </c>
      <c r="J23">
        <f t="shared" si="1"/>
        <v>-3.8953521797819999</v>
      </c>
      <c r="K23">
        <f>LN(VLOOKUP($B23,'Dev Acc 2000'!$D$4:$O$191,11,FALSE))-LN('Dev Acc 2000'!$N$150)</f>
        <v>-2.1688572646009483</v>
      </c>
      <c r="L23">
        <f t="shared" si="2"/>
        <v>0.11430816629295357</v>
      </c>
      <c r="M23">
        <f>VLOOKUP(A23,'Country FEs'!$A$3:$H$173,3)-US_avg_adoption_lag</f>
        <v>46.356190000000005</v>
      </c>
      <c r="N23">
        <f t="shared" si="3"/>
        <v>-0.64898666000000005</v>
      </c>
      <c r="O23">
        <f t="shared" si="4"/>
        <v>0.52257505475242783</v>
      </c>
      <c r="P23">
        <f t="shared" si="5"/>
        <v>-0.92712380000000016</v>
      </c>
      <c r="Q23" t="e">
        <f t="shared" si="6"/>
        <v>#N/A</v>
      </c>
      <c r="R23">
        <f t="shared" si="7"/>
        <v>-0.57480042654363284</v>
      </c>
      <c r="S23">
        <f t="shared" si="8"/>
        <v>-0.97220047640182128</v>
      </c>
    </row>
    <row r="24" spans="1:19">
      <c r="A24">
        <f>'List of countries'!A23</f>
        <v>23</v>
      </c>
      <c r="B24" t="str">
        <f>'List of countries'!B23</f>
        <v>CMB</v>
      </c>
      <c r="C24" t="str">
        <f>'List of countries'!C23</f>
        <v>Cambodia</v>
      </c>
      <c r="D24" t="str">
        <f>'List of countries'!D23</f>
        <v>other</v>
      </c>
      <c r="E24">
        <f>'List of countries'!E23</f>
        <v>0</v>
      </c>
      <c r="F24" t="e">
        <f>-LN(VLOOKUP($B24,'Klenow - RC'!$B$2:$F$93,2,FALSE))</f>
        <v>#N/A</v>
      </c>
      <c r="G24" t="e">
        <f>LN(VLOOKUP($B24,'Klenow - RC'!$B$2:$F$93,5,FALSE))</f>
        <v>#N/A</v>
      </c>
      <c r="H24" t="e">
        <f t="shared" si="0"/>
        <v>#N/A</v>
      </c>
      <c r="I24">
        <f>-LN(VLOOKUP($B24,'Dev Acc 2000'!$D$4:$O$191,4,FALSE))+LN('Dev Acc 2000'!$G$150)</f>
        <v>4.202738099465023</v>
      </c>
      <c r="J24">
        <f t="shared" si="1"/>
        <v>-4.202738099465023</v>
      </c>
      <c r="K24" t="e">
        <f>LN(VLOOKUP($B24,'Dev Acc 2000'!$D$4:$O$191,11,FALSE))-LN('Dev Acc 2000'!$N$150)</f>
        <v>#N/A</v>
      </c>
      <c r="L24" t="e">
        <f t="shared" si="2"/>
        <v>#N/A</v>
      </c>
      <c r="M24">
        <f>VLOOKUP(A24,'Country FEs'!$A$3:$H$173,3)-US_avg_adoption_lag</f>
        <v>53.053460000000001</v>
      </c>
      <c r="N24">
        <f t="shared" si="3"/>
        <v>-0.74274844000000007</v>
      </c>
      <c r="O24">
        <f t="shared" si="4"/>
        <v>0.47580439694201476</v>
      </c>
      <c r="P24">
        <f t="shared" si="5"/>
        <v>-1.0610692000000002</v>
      </c>
      <c r="Q24" t="e">
        <f t="shared" si="6"/>
        <v>#N/A</v>
      </c>
      <c r="R24" t="e">
        <f t="shared" si="7"/>
        <v>#N/A</v>
      </c>
      <c r="S24">
        <f t="shared" si="8"/>
        <v>-1.0197022733743131</v>
      </c>
    </row>
    <row r="25" spans="1:19">
      <c r="A25">
        <f>'List of countries'!A24</f>
        <v>24</v>
      </c>
      <c r="B25" t="str">
        <f>'List of countries'!B24</f>
        <v>CAM</v>
      </c>
      <c r="C25" t="str">
        <f>'List of countries'!C24</f>
        <v>Cameroon</v>
      </c>
      <c r="D25" t="str">
        <f>'List of countries'!D24</f>
        <v>SubSaharan</v>
      </c>
      <c r="E25">
        <f>'List of countries'!E24</f>
        <v>0</v>
      </c>
      <c r="F25">
        <f>-LN(VLOOKUP($B25,'Klenow - RC'!$B$2:$F$93,2,FALSE))</f>
        <v>2.2072749131897207</v>
      </c>
      <c r="G25">
        <f>LN(VLOOKUP($B25,'Klenow - RC'!$B$2:$F$93,5,FALSE))</f>
        <v>-0.84397007029452897</v>
      </c>
      <c r="H25">
        <f t="shared" si="0"/>
        <v>0.43</v>
      </c>
      <c r="I25">
        <f>-LN(VLOOKUP($B25,'Dev Acc 2000'!$D$4:$O$191,4,FALSE))+LN('Dev Acc 2000'!$G$150)</f>
        <v>2.6321070244159532</v>
      </c>
      <c r="J25">
        <f t="shared" si="1"/>
        <v>-2.6321070244159532</v>
      </c>
      <c r="K25">
        <f>LN(VLOOKUP($B25,'Dev Acc 2000'!$D$4:$O$191,11,FALSE))-LN('Dev Acc 2000'!$N$150)</f>
        <v>-0.99122760447575864</v>
      </c>
      <c r="L25">
        <f t="shared" si="2"/>
        <v>0.37112082168392946</v>
      </c>
      <c r="M25">
        <f>VLOOKUP(A25,'Country FEs'!$A$3:$H$173,3)-US_avg_adoption_lag</f>
        <v>53.206720000000004</v>
      </c>
      <c r="N25">
        <f t="shared" si="3"/>
        <v>-0.74489408000000012</v>
      </c>
      <c r="O25">
        <f t="shared" si="4"/>
        <v>0.47478458646008909</v>
      </c>
      <c r="P25">
        <f t="shared" si="5"/>
        <v>-1.0641344000000001</v>
      </c>
      <c r="Q25">
        <f t="shared" si="6"/>
        <v>-0.44082481562376374</v>
      </c>
      <c r="R25">
        <f t="shared" si="7"/>
        <v>-0.42474995841290558</v>
      </c>
      <c r="S25">
        <f t="shared" si="8"/>
        <v>-0.7769852402629619</v>
      </c>
    </row>
    <row r="26" spans="1:19">
      <c r="A26">
        <f>'List of countries'!A25</f>
        <v>25</v>
      </c>
      <c r="B26" t="str">
        <f>'List of countries'!B25</f>
        <v>CAN</v>
      </c>
      <c r="C26" t="str">
        <f>'List of countries'!C25</f>
        <v>Canada</v>
      </c>
      <c r="D26" t="str">
        <f>'List of countries'!D25</f>
        <v>OECD</v>
      </c>
      <c r="E26">
        <f>'List of countries'!E25</f>
        <v>0</v>
      </c>
      <c r="F26">
        <f>-LN(VLOOKUP($B26,'Klenow - RC'!$B$2:$F$93,2,FALSE))</f>
        <v>8.3381608939051013E-2</v>
      </c>
      <c r="G26">
        <f>LN(VLOOKUP($B26,'Klenow - RC'!$B$2:$F$93,5,FALSE))</f>
        <v>4.8790164169432049E-2</v>
      </c>
      <c r="H26">
        <f t="shared" si="0"/>
        <v>1.05</v>
      </c>
      <c r="I26">
        <f>-LN(VLOOKUP($B26,'Dev Acc 2000'!$D$4:$O$191,4,FALSE))+LN('Dev Acc 2000'!$G$150)</f>
        <v>0.24784883732178642</v>
      </c>
      <c r="J26">
        <f t="shared" si="1"/>
        <v>-0.24784883732178642</v>
      </c>
      <c r="K26">
        <f>LN(VLOOKUP($B26,'Dev Acc 2000'!$D$4:$O$191,11,FALSE))-LN('Dev Acc 2000'!$N$150)</f>
        <v>-0.37635190266320429</v>
      </c>
      <c r="L26">
        <f t="shared" si="2"/>
        <v>0.68636075836062105</v>
      </c>
      <c r="M26">
        <f>VLOOKUP(A26,'Country FEs'!$A$3:$H$173,3)-US_avg_adoption_lag</f>
        <v>7.1970500000000044</v>
      </c>
      <c r="N26">
        <f t="shared" si="3"/>
        <v>-0.10075870000000006</v>
      </c>
      <c r="O26">
        <f t="shared" si="4"/>
        <v>0.90415117824487845</v>
      </c>
      <c r="P26">
        <f t="shared" si="5"/>
        <v>-0.1439410000000001</v>
      </c>
      <c r="Q26">
        <f t="shared" si="6"/>
        <v>-0.30586596314760123</v>
      </c>
      <c r="R26">
        <f t="shared" si="7"/>
        <v>-0.34640411674195515</v>
      </c>
      <c r="S26">
        <f t="shared" si="8"/>
        <v>-0.4085345693599523</v>
      </c>
    </row>
    <row r="27" spans="1:19">
      <c r="A27">
        <f>'List of countries'!A26</f>
        <v>26</v>
      </c>
      <c r="B27" t="str">
        <f>'List of countries'!B26</f>
        <v>CAR</v>
      </c>
      <c r="C27" t="str">
        <f>'List of countries'!C26</f>
        <v>Central African Republic</v>
      </c>
      <c r="D27" t="str">
        <f>'List of countries'!D26</f>
        <v>SubSaharan</v>
      </c>
      <c r="E27">
        <f>'List of countries'!E26</f>
        <v>0</v>
      </c>
      <c r="F27">
        <f>-LN(VLOOKUP($B27,'Klenow - RC'!$B$2:$F$93,2,FALSE))</f>
        <v>3.2188758248682006</v>
      </c>
      <c r="G27">
        <f>LN(VLOOKUP($B27,'Klenow - RC'!$B$2:$F$93,5,FALSE))</f>
        <v>-2.120263536200091</v>
      </c>
      <c r="H27">
        <f t="shared" si="0"/>
        <v>0.12000000000000001</v>
      </c>
      <c r="I27">
        <f>-LN(VLOOKUP($B27,'Dev Acc 2000'!$D$4:$O$191,4,FALSE))+LN('Dev Acc 2000'!$G$150)</f>
        <v>3.5934863944996209</v>
      </c>
      <c r="J27">
        <f t="shared" si="1"/>
        <v>-3.5934863944996209</v>
      </c>
      <c r="K27">
        <f>LN(VLOOKUP($B27,'Dev Acc 2000'!$D$4:$O$191,11,FALSE))-LN('Dev Acc 2000'!$N$150)</f>
        <v>-2.4158163155529282</v>
      </c>
      <c r="L27">
        <f t="shared" si="2"/>
        <v>8.9294416740872198E-2</v>
      </c>
      <c r="M27">
        <f>VLOOKUP(A27,'Country FEs'!$A$3:$H$173,3)-US_avg_adoption_lag</f>
        <v>50.347500000000004</v>
      </c>
      <c r="N27">
        <f t="shared" si="3"/>
        <v>-0.70486500000000007</v>
      </c>
      <c r="O27">
        <f t="shared" si="4"/>
        <v>0.49417528341643324</v>
      </c>
      <c r="P27">
        <f t="shared" si="5"/>
        <v>-1.0069500000000002</v>
      </c>
      <c r="Q27">
        <f t="shared" si="6"/>
        <v>-0.63376251035079312</v>
      </c>
      <c r="R27">
        <f t="shared" si="7"/>
        <v>-0.60626729805612978</v>
      </c>
      <c r="S27">
        <f t="shared" si="8"/>
        <v>-0.92555173185225981</v>
      </c>
    </row>
    <row r="28" spans="1:19">
      <c r="A28">
        <f>'List of countries'!A27</f>
        <v>27</v>
      </c>
      <c r="B28" t="str">
        <f>'List of countries'!B27</f>
        <v>CHD</v>
      </c>
      <c r="C28" t="str">
        <f>'List of countries'!C27</f>
        <v>Chad</v>
      </c>
      <c r="D28" t="str">
        <f>'List of countries'!D27</f>
        <v>SubSaharan</v>
      </c>
      <c r="E28">
        <f>'List of countries'!E27</f>
        <v>0</v>
      </c>
      <c r="F28" t="e">
        <f>-LN(VLOOKUP($B28,'Klenow - RC'!$B$2:$F$93,2,FALSE))</f>
        <v>#N/A</v>
      </c>
      <c r="G28" t="e">
        <f>LN(VLOOKUP($B28,'Klenow - RC'!$B$2:$F$93,5,FALSE))</f>
        <v>#N/A</v>
      </c>
      <c r="H28" t="e">
        <f t="shared" si="0"/>
        <v>#N/A</v>
      </c>
      <c r="I28">
        <f>-LN(VLOOKUP($B28,'Dev Acc 2000'!$D$4:$O$191,4,FALSE))+LN('Dev Acc 2000'!$G$150)</f>
        <v>3.7239500620921646</v>
      </c>
      <c r="J28">
        <f t="shared" si="1"/>
        <v>-3.7239500620921646</v>
      </c>
      <c r="K28">
        <f>LN(VLOOKUP($B28,'Dev Acc 2000'!$D$4:$O$191,11,FALSE))-LN('Dev Acc 2000'!$N$150)</f>
        <v>-2.2243369993651116</v>
      </c>
      <c r="L28">
        <f t="shared" si="2"/>
        <v>0.10813909115883395</v>
      </c>
      <c r="M28">
        <f>VLOOKUP(A28,'Country FEs'!$A$3:$H$173,3)-US_avg_adoption_lag</f>
        <v>49.601040000000005</v>
      </c>
      <c r="N28">
        <f t="shared" si="3"/>
        <v>-0.69441456000000013</v>
      </c>
      <c r="O28">
        <f t="shared" si="4"/>
        <v>0.49936671167304353</v>
      </c>
      <c r="P28">
        <f t="shared" si="5"/>
        <v>-0.99202080000000026</v>
      </c>
      <c r="Q28" t="e">
        <f t="shared" si="6"/>
        <v>#N/A</v>
      </c>
      <c r="R28">
        <f t="shared" si="7"/>
        <v>-0.58186950815308069</v>
      </c>
      <c r="S28">
        <f t="shared" si="8"/>
        <v>-0.94571289816937121</v>
      </c>
    </row>
    <row r="29" spans="1:19">
      <c r="A29">
        <f>'List of countries'!A28</f>
        <v>28</v>
      </c>
      <c r="B29" t="str">
        <f>'List of countries'!B28</f>
        <v>CHL</v>
      </c>
      <c r="C29" t="str">
        <f>'List of countries'!C28</f>
        <v>Chile</v>
      </c>
      <c r="D29" t="str">
        <f>'List of countries'!D28</f>
        <v>Latin</v>
      </c>
      <c r="E29">
        <f>'List of countries'!E28</f>
        <v>0</v>
      </c>
      <c r="F29">
        <f>-LN(VLOOKUP($B29,'Klenow - RC'!$B$2:$F$93,2,FALSE))</f>
        <v>1.2378743560016174</v>
      </c>
      <c r="G29">
        <f>LN(VLOOKUP($B29,'Klenow - RC'!$B$2:$F$93,5,FALSE))</f>
        <v>-0.75502258427803282</v>
      </c>
      <c r="H29">
        <f t="shared" si="0"/>
        <v>0.47</v>
      </c>
      <c r="I29">
        <f>-LN(VLOOKUP($B29,'Dev Acc 2000'!$D$4:$O$191,4,FALSE))+LN('Dev Acc 2000'!$G$150)</f>
        <v>1.1007661710341115</v>
      </c>
      <c r="J29">
        <f t="shared" si="1"/>
        <v>-1.1007661710341115</v>
      </c>
      <c r="K29">
        <f>LN(VLOOKUP($B29,'Dev Acc 2000'!$D$4:$O$191,11,FALSE))-LN('Dev Acc 2000'!$N$150)</f>
        <v>-0.73222423536960513</v>
      </c>
      <c r="L29">
        <f t="shared" si="2"/>
        <v>0.48083830224181512</v>
      </c>
      <c r="M29">
        <f>VLOOKUP(A29,'Country FEs'!$A$3:$H$173,3)-US_avg_adoption_lag</f>
        <v>13.59751</v>
      </c>
      <c r="N29">
        <f t="shared" si="3"/>
        <v>-0.19036513999999999</v>
      </c>
      <c r="O29">
        <f t="shared" si="4"/>
        <v>0.82665723320656603</v>
      </c>
      <c r="P29">
        <f t="shared" si="5"/>
        <v>-0.27195019999999998</v>
      </c>
      <c r="Q29">
        <f t="shared" si="6"/>
        <v>-0.42737859548534829</v>
      </c>
      <c r="R29">
        <f t="shared" si="7"/>
        <v>-0.39174843161908957</v>
      </c>
      <c r="S29">
        <f t="shared" si="8"/>
        <v>-0.54033991054832275</v>
      </c>
    </row>
    <row r="30" spans="1:19">
      <c r="A30">
        <f>'List of countries'!A29</f>
        <v>29</v>
      </c>
      <c r="B30" t="str">
        <f>'List of countries'!B29</f>
        <v>CHN</v>
      </c>
      <c r="C30" t="str">
        <f>'List of countries'!C29</f>
        <v>China</v>
      </c>
      <c r="D30" t="str">
        <f>'List of countries'!D29</f>
        <v>other</v>
      </c>
      <c r="E30">
        <f>'List of countries'!E29</f>
        <v>0</v>
      </c>
      <c r="F30" t="e">
        <f>-LN(VLOOKUP($B30,'Klenow - RC'!$B$2:$F$93,2,FALSE))</f>
        <v>#N/A</v>
      </c>
      <c r="G30" t="e">
        <f>LN(VLOOKUP($B30,'Klenow - RC'!$B$2:$F$93,5,FALSE))</f>
        <v>#N/A</v>
      </c>
      <c r="H30" t="e">
        <f t="shared" si="0"/>
        <v>#N/A</v>
      </c>
      <c r="I30">
        <f>-LN(VLOOKUP($B30,'Dev Acc 2000'!$D$4:$O$191,4,FALSE))+LN('Dev Acc 2000'!$G$150)</f>
        <v>2.1502738611581993</v>
      </c>
      <c r="J30">
        <f t="shared" si="1"/>
        <v>-2.1502738611581993</v>
      </c>
      <c r="K30">
        <f>LN(VLOOKUP($B30,'Dev Acc 2000'!$D$4:$O$191,11,FALSE))-LN('Dev Acc 2000'!$N$150)</f>
        <v>-1.8917509081953616</v>
      </c>
      <c r="L30">
        <f t="shared" si="2"/>
        <v>0.15080752740197267</v>
      </c>
      <c r="M30">
        <f>VLOOKUP(A30,'Country FEs'!$A$3:$H$173,3)-US_avg_adoption_lag</f>
        <v>36.401050000000005</v>
      </c>
      <c r="N30">
        <f t="shared" si="3"/>
        <v>-0.50961470000000009</v>
      </c>
      <c r="O30">
        <f t="shared" si="4"/>
        <v>0.60072699433812038</v>
      </c>
      <c r="P30">
        <f t="shared" si="5"/>
        <v>-0.72802100000000014</v>
      </c>
      <c r="Q30" t="e">
        <f t="shared" si="6"/>
        <v>#N/A</v>
      </c>
      <c r="R30">
        <f t="shared" si="7"/>
        <v>-0.53949226481115897</v>
      </c>
      <c r="S30">
        <f t="shared" si="8"/>
        <v>-0.70252528738260422</v>
      </c>
    </row>
    <row r="31" spans="1:19">
      <c r="A31">
        <f>'List of countries'!A30</f>
        <v>30</v>
      </c>
      <c r="B31" t="str">
        <f>'List of countries'!B30</f>
        <v>COL</v>
      </c>
      <c r="C31" t="str">
        <f>'List of countries'!C30</f>
        <v>Colombia</v>
      </c>
      <c r="D31" t="str">
        <f>'List of countries'!D30</f>
        <v>Latin</v>
      </c>
      <c r="E31">
        <f>'List of countries'!E30</f>
        <v>0</v>
      </c>
      <c r="F31">
        <f>-LN(VLOOKUP($B31,'Klenow - RC'!$B$2:$F$93,2,FALSE))</f>
        <v>1.3093333199837622</v>
      </c>
      <c r="G31">
        <f>LN(VLOOKUP($B31,'Klenow - RC'!$B$2:$F$93,5,FALSE))</f>
        <v>-0.38566248081198462</v>
      </c>
      <c r="H31">
        <f t="shared" si="0"/>
        <v>0.68</v>
      </c>
      <c r="I31">
        <f>-LN(VLOOKUP($B31,'Dev Acc 2000'!$D$4:$O$191,4,FALSE))+LN('Dev Acc 2000'!$G$150)</f>
        <v>1.7320723513726808</v>
      </c>
      <c r="J31">
        <f t="shared" si="1"/>
        <v>-1.7320723513726808</v>
      </c>
      <c r="K31">
        <f>LN(VLOOKUP($B31,'Dev Acc 2000'!$D$4:$O$191,11,FALSE))-LN('Dev Acc 2000'!$N$150)</f>
        <v>-0.86181670519461839</v>
      </c>
      <c r="L31">
        <f t="shared" si="2"/>
        <v>0.42239401944778349</v>
      </c>
      <c r="M31">
        <f>VLOOKUP(A31,'Country FEs'!$A$3:$H$173,3)-US_avg_adoption_lag</f>
        <v>23.219730000000006</v>
      </c>
      <c r="N31">
        <f t="shared" si="3"/>
        <v>-0.32507622000000008</v>
      </c>
      <c r="O31">
        <f t="shared" si="4"/>
        <v>0.72247228470588132</v>
      </c>
      <c r="P31">
        <f t="shared" si="5"/>
        <v>-0.46439460000000016</v>
      </c>
      <c r="Q31">
        <f t="shared" si="6"/>
        <v>-0.37154230956006296</v>
      </c>
      <c r="R31">
        <f t="shared" si="7"/>
        <v>-0.40826076263612021</v>
      </c>
      <c r="S31">
        <f t="shared" si="8"/>
        <v>-0.63789863424277793</v>
      </c>
    </row>
    <row r="32" spans="1:19">
      <c r="A32">
        <f>'List of countries'!A31</f>
        <v>31</v>
      </c>
      <c r="B32" t="str">
        <f>'List of countries'!B31</f>
        <v>CON</v>
      </c>
      <c r="C32" t="str">
        <f>'List of countries'!C31</f>
        <v>Republic of the Congo</v>
      </c>
      <c r="D32" t="str">
        <f>'List of countries'!D31</f>
        <v>SubSaharan</v>
      </c>
      <c r="E32">
        <f>'List of countries'!E31</f>
        <v>0</v>
      </c>
      <c r="F32">
        <f>-LN(VLOOKUP($B32,'Klenow - RC'!$B$2:$F$93,2,FALSE))</f>
        <v>1.6094379124341003</v>
      </c>
      <c r="G32">
        <f>LN(VLOOKUP($B32,'Klenow - RC'!$B$2:$F$93,5,FALSE))</f>
        <v>-0.21072103131565253</v>
      </c>
      <c r="H32">
        <f t="shared" si="0"/>
        <v>0.81</v>
      </c>
      <c r="I32">
        <f>-LN(VLOOKUP($B32,'Dev Acc 2000'!$D$4:$O$191,4,FALSE))+LN('Dev Acc 2000'!$G$150)</f>
        <v>3.2853395436670842</v>
      </c>
      <c r="J32">
        <f t="shared" si="1"/>
        <v>-3.2853395436670842</v>
      </c>
      <c r="K32">
        <f>LN(VLOOKUP($B32,'Dev Acc 2000'!$D$4:$O$191,11,FALSE))-LN('Dev Acc 2000'!$N$150)</f>
        <v>-2.8064489030303976</v>
      </c>
      <c r="L32">
        <f t="shared" si="2"/>
        <v>6.0419166209343129E-2</v>
      </c>
      <c r="M32">
        <f>VLOOKUP(A32,'Country FEs'!$A$3:$H$173,3)-US_avg_adoption_lag</f>
        <v>48.730860000000007</v>
      </c>
      <c r="N32">
        <f t="shared" si="3"/>
        <v>-0.68223204000000015</v>
      </c>
      <c r="O32">
        <f t="shared" si="4"/>
        <v>0.50548746401911782</v>
      </c>
      <c r="P32">
        <f t="shared" si="5"/>
        <v>-0.97461720000000029</v>
      </c>
      <c r="Q32">
        <f t="shared" si="6"/>
        <v>-0.34509635423733559</v>
      </c>
      <c r="R32">
        <f t="shared" si="7"/>
        <v>-0.65604067299972657</v>
      </c>
      <c r="S32">
        <f t="shared" si="8"/>
        <v>-0.87793234459778136</v>
      </c>
    </row>
    <row r="33" spans="1:19">
      <c r="A33">
        <f>'List of countries'!A32</f>
        <v>32</v>
      </c>
      <c r="B33" t="str">
        <f>'List of countries'!B32</f>
        <v>COS</v>
      </c>
      <c r="C33" t="str">
        <f>'List of countries'!C32</f>
        <v>Costa Rica</v>
      </c>
      <c r="D33" t="str">
        <f>'List of countries'!D32</f>
        <v>Latin</v>
      </c>
      <c r="E33">
        <f>'List of countries'!E32</f>
        <v>0</v>
      </c>
      <c r="F33">
        <f>-LN(VLOOKUP($B33,'Klenow - RC'!$B$2:$F$93,2,FALSE))</f>
        <v>1.3093333199837622</v>
      </c>
      <c r="G33">
        <f>LN(VLOOKUP($B33,'Klenow - RC'!$B$2:$F$93,5,FALSE))</f>
        <v>-0.44628710262841947</v>
      </c>
      <c r="H33">
        <f t="shared" si="0"/>
        <v>0.64</v>
      </c>
      <c r="I33">
        <f>-LN(VLOOKUP($B33,'Dev Acc 2000'!$D$4:$O$191,4,FALSE))+LN('Dev Acc 2000'!$G$150)</f>
        <v>1.4157846338650053</v>
      </c>
      <c r="J33">
        <f t="shared" si="1"/>
        <v>-1.4157846338650053</v>
      </c>
      <c r="K33">
        <f>LN(VLOOKUP($B33,'Dev Acc 2000'!$D$4:$O$191,11,FALSE))-LN('Dev Acc 2000'!$N$150)</f>
        <v>-0.3979496648103833</v>
      </c>
      <c r="L33">
        <f t="shared" si="2"/>
        <v>0.67169583674841671</v>
      </c>
      <c r="M33">
        <f>VLOOKUP(A33,'Country FEs'!$A$3:$H$173,3)-US_avg_adoption_lag</f>
        <v>18.685980000000001</v>
      </c>
      <c r="N33">
        <f t="shared" si="3"/>
        <v>-0.26160372000000004</v>
      </c>
      <c r="O33">
        <f t="shared" si="4"/>
        <v>0.76981602596520649</v>
      </c>
      <c r="P33">
        <f t="shared" si="5"/>
        <v>-0.3737196000000001</v>
      </c>
      <c r="Q33">
        <f t="shared" si="6"/>
        <v>-0.3807069531858624</v>
      </c>
      <c r="R33">
        <f t="shared" si="7"/>
        <v>-0.34915604668265976</v>
      </c>
      <c r="S33">
        <f t="shared" si="8"/>
        <v>-0.58902120043762674</v>
      </c>
    </row>
    <row r="34" spans="1:19">
      <c r="A34">
        <f>'List of countries'!A33</f>
        <v>33</v>
      </c>
      <c r="B34" t="str">
        <f>'List of countries'!B33</f>
        <v>CRO</v>
      </c>
      <c r="C34" t="str">
        <f>'List of countries'!C33</f>
        <v>Croatia</v>
      </c>
      <c r="D34" t="str">
        <f>'List of countries'!D33</f>
        <v>other</v>
      </c>
      <c r="E34">
        <f>'List of countries'!E33</f>
        <v>0</v>
      </c>
      <c r="F34" t="e">
        <f>-LN(VLOOKUP($B34,'Klenow - RC'!$B$2:$F$93,2,FALSE))</f>
        <v>#N/A</v>
      </c>
      <c r="G34" t="e">
        <f>LN(VLOOKUP($B34,'Klenow - RC'!$B$2:$F$93,5,FALSE))</f>
        <v>#N/A</v>
      </c>
      <c r="H34" t="e">
        <f t="shared" si="0"/>
        <v>#N/A</v>
      </c>
      <c r="I34">
        <f>-LN(VLOOKUP($B34,'Dev Acc 2000'!$D$4:$O$191,4,FALSE))+LN('Dev Acc 2000'!$G$150)</f>
        <v>1.3420685921336517</v>
      </c>
      <c r="J34">
        <f t="shared" si="1"/>
        <v>-1.3420685921336517</v>
      </c>
      <c r="K34" t="e">
        <f>LN(VLOOKUP($B34,'Dev Acc 2000'!$D$4:$O$191,11,FALSE))-LN('Dev Acc 2000'!$N$150)</f>
        <v>#N/A</v>
      </c>
      <c r="L34" t="e">
        <f t="shared" si="2"/>
        <v>#N/A</v>
      </c>
      <c r="M34">
        <f>VLOOKUP(A34,'Country FEs'!$A$3:$H$173,3)-US_avg_adoption_lag</f>
        <v>26.259120000000003</v>
      </c>
      <c r="N34">
        <f t="shared" si="3"/>
        <v>-0.36762768000000007</v>
      </c>
      <c r="O34">
        <f t="shared" si="4"/>
        <v>0.69237491873516799</v>
      </c>
      <c r="P34">
        <f t="shared" si="5"/>
        <v>-0.52518240000000016</v>
      </c>
      <c r="Q34" t="e">
        <f t="shared" si="6"/>
        <v>#N/A</v>
      </c>
      <c r="R34" t="e">
        <f t="shared" si="7"/>
        <v>#N/A</v>
      </c>
      <c r="S34">
        <f t="shared" si="8"/>
        <v>-0.57762951258299311</v>
      </c>
    </row>
    <row r="35" spans="1:19">
      <c r="A35">
        <f>'List of countries'!A34</f>
        <v>34</v>
      </c>
      <c r="B35" t="str">
        <f>'List of countries'!B34</f>
        <v>CUB</v>
      </c>
      <c r="C35" t="str">
        <f>'List of countries'!C34</f>
        <v>Cuba</v>
      </c>
      <c r="D35" t="str">
        <f>'List of countries'!D34</f>
        <v>Latin</v>
      </c>
      <c r="E35">
        <f>'List of countries'!E34</f>
        <v>0</v>
      </c>
      <c r="F35" t="e">
        <f>-LN(VLOOKUP($B35,'Klenow - RC'!$B$2:$F$93,2,FALSE))</f>
        <v>#N/A</v>
      </c>
      <c r="G35" t="e">
        <f>LN(VLOOKUP($B35,'Klenow - RC'!$B$2:$F$93,5,FALSE))</f>
        <v>#N/A</v>
      </c>
      <c r="H35" t="e">
        <f t="shared" si="0"/>
        <v>#N/A</v>
      </c>
      <c r="I35">
        <f>-LN(VLOOKUP($B35,'Dev Acc 2000'!$D$4:$O$191,4,FALSE))+LN('Dev Acc 2000'!$G$150)</f>
        <v>1.7968004320010156</v>
      </c>
      <c r="J35">
        <f t="shared" si="1"/>
        <v>-1.7968004320010156</v>
      </c>
      <c r="K35" t="e">
        <f>LN(VLOOKUP($B35,'Dev Acc 2000'!$D$4:$O$191,11,FALSE))-LN('Dev Acc 2000'!$N$150)</f>
        <v>#N/A</v>
      </c>
      <c r="L35" t="e">
        <f t="shared" si="2"/>
        <v>#N/A</v>
      </c>
      <c r="M35">
        <f>VLOOKUP(A35,'Country FEs'!$A$3:$H$173,3)-US_avg_adoption_lag</f>
        <v>26.316510000000001</v>
      </c>
      <c r="N35">
        <f t="shared" si="3"/>
        <v>-0.36843114000000005</v>
      </c>
      <c r="O35">
        <f t="shared" si="4"/>
        <v>0.69181884660373261</v>
      </c>
      <c r="P35">
        <f t="shared" si="5"/>
        <v>-0.52633020000000008</v>
      </c>
      <c r="Q35" t="e">
        <f t="shared" si="6"/>
        <v>#N/A</v>
      </c>
      <c r="R35" t="e">
        <f t="shared" si="7"/>
        <v>#N/A</v>
      </c>
      <c r="S35">
        <f t="shared" si="8"/>
        <v>-0.64790137004667181</v>
      </c>
    </row>
    <row r="36" spans="1:19">
      <c r="A36">
        <f>'List of countries'!A35</f>
        <v>35</v>
      </c>
      <c r="B36" t="str">
        <f>'List of countries'!B35</f>
        <v>CZE</v>
      </c>
      <c r="C36" t="str">
        <f>'List of countries'!C35</f>
        <v>Czechoslovakia</v>
      </c>
      <c r="D36" t="str">
        <f>'List of countries'!D35</f>
        <v>OECD</v>
      </c>
      <c r="E36">
        <f>'List of countries'!E35</f>
        <v>0</v>
      </c>
      <c r="F36" t="e">
        <f>-LN(VLOOKUP($B36,'Klenow - RC'!$B$2:$F$93,2,FALSE))</f>
        <v>#N/A</v>
      </c>
      <c r="G36" t="e">
        <f>LN(VLOOKUP($B36,'Klenow - RC'!$B$2:$F$93,5,FALSE))</f>
        <v>#N/A</v>
      </c>
      <c r="H36" t="e">
        <f t="shared" si="0"/>
        <v>#N/A</v>
      </c>
      <c r="I36" t="e">
        <f>-LN(VLOOKUP($B36,'Dev Acc 2000'!$D$4:$O$191,4,FALSE))+LN('Dev Acc 2000'!$G$150)</f>
        <v>#N/A</v>
      </c>
      <c r="J36" t="e">
        <f t="shared" si="1"/>
        <v>#N/A</v>
      </c>
      <c r="K36" t="e">
        <f>LN(VLOOKUP($B36,'Dev Acc 2000'!$D$4:$O$191,11,FALSE))-LN('Dev Acc 2000'!$N$150)</f>
        <v>#N/A</v>
      </c>
      <c r="L36" t="e">
        <f t="shared" si="2"/>
        <v>#N/A</v>
      </c>
      <c r="M36">
        <f>VLOOKUP(A36,'Country FEs'!$A$3:$H$173,3)-US_avg_adoption_lag</f>
        <v>21.461050000000007</v>
      </c>
      <c r="N36">
        <f t="shared" si="3"/>
        <v>-0.30045470000000013</v>
      </c>
      <c r="O36">
        <f t="shared" si="4"/>
        <v>0.74048144720802545</v>
      </c>
      <c r="P36">
        <f t="shared" si="5"/>
        <v>-0.42922100000000019</v>
      </c>
      <c r="Q36" t="e">
        <f t="shared" si="6"/>
        <v>#N/A</v>
      </c>
      <c r="R36" t="e">
        <f t="shared" si="7"/>
        <v>#N/A</v>
      </c>
      <c r="S36" t="e">
        <f t="shared" si="8"/>
        <v>#N/A</v>
      </c>
    </row>
    <row r="37" spans="1:19">
      <c r="A37">
        <f>'List of countries'!A36</f>
        <v>36</v>
      </c>
      <c r="B37" t="str">
        <f>'List of countries'!B36</f>
        <v>CZR</v>
      </c>
      <c r="C37" t="str">
        <f>'List of countries'!C36</f>
        <v>Czech Republic</v>
      </c>
      <c r="D37" t="str">
        <f>'List of countries'!D36</f>
        <v>OECD</v>
      </c>
      <c r="E37">
        <f>'List of countries'!E36</f>
        <v>0</v>
      </c>
      <c r="F37" t="e">
        <f>-LN(VLOOKUP($B37,'Klenow - RC'!$B$2:$F$93,2,FALSE))</f>
        <v>#N/A</v>
      </c>
      <c r="G37" t="e">
        <f>LN(VLOOKUP($B37,'Klenow - RC'!$B$2:$F$93,5,FALSE))</f>
        <v>#N/A</v>
      </c>
      <c r="H37" t="e">
        <f t="shared" si="0"/>
        <v>#N/A</v>
      </c>
      <c r="I37">
        <f>-LN(VLOOKUP($B37,'Dev Acc 2000'!$D$4:$O$191,4,FALSE))+LN('Dev Acc 2000'!$G$150)</f>
        <v>0.9257357516795377</v>
      </c>
      <c r="J37">
        <f t="shared" si="1"/>
        <v>-0.9257357516795377</v>
      </c>
      <c r="K37" t="e">
        <f>LN(VLOOKUP($B37,'Dev Acc 2000'!$D$4:$O$191,11,FALSE))-LN('Dev Acc 2000'!$N$150)</f>
        <v>#N/A</v>
      </c>
      <c r="L37" t="e">
        <f t="shared" si="2"/>
        <v>#N/A</v>
      </c>
      <c r="M37">
        <f>VLOOKUP(A37,'Country FEs'!$A$3:$H$173,3)-US_avg_adoption_lag</f>
        <v>32.369100000000003</v>
      </c>
      <c r="N37">
        <f t="shared" si="3"/>
        <v>-0.45316740000000005</v>
      </c>
      <c r="O37">
        <f t="shared" si="4"/>
        <v>0.63561172331763649</v>
      </c>
      <c r="P37">
        <f t="shared" si="5"/>
        <v>-0.64738200000000012</v>
      </c>
      <c r="Q37" t="e">
        <f t="shared" si="6"/>
        <v>#N/A</v>
      </c>
      <c r="R37" t="e">
        <f t="shared" si="7"/>
        <v>#N/A</v>
      </c>
      <c r="S37">
        <f t="shared" si="8"/>
        <v>-0.51329163373471742</v>
      </c>
    </row>
    <row r="38" spans="1:19">
      <c r="A38">
        <f>'List of countries'!A37</f>
        <v>37</v>
      </c>
      <c r="B38" t="str">
        <f>'List of countries'!B37</f>
        <v>DEN</v>
      </c>
      <c r="C38" t="str">
        <f>'List of countries'!C37</f>
        <v>Denmark</v>
      </c>
      <c r="D38" t="str">
        <f>'List of countries'!D37</f>
        <v>OECD</v>
      </c>
      <c r="E38">
        <f>'List of countries'!E37</f>
        <v>0</v>
      </c>
      <c r="F38">
        <f>-LN(VLOOKUP($B38,'Klenow - RC'!$B$2:$F$93,2,FALSE))</f>
        <v>0.34249030894677601</v>
      </c>
      <c r="G38">
        <f>LN(VLOOKUP($B38,'Klenow - RC'!$B$2:$F$93,5,FALSE))</f>
        <v>-0.41551544396166579</v>
      </c>
      <c r="H38">
        <f t="shared" si="0"/>
        <v>0.66</v>
      </c>
      <c r="I38">
        <f>-LN(VLOOKUP($B38,'Dev Acc 2000'!$D$4:$O$191,4,FALSE))+LN('Dev Acc 2000'!$G$150)</f>
        <v>0.21100720400689355</v>
      </c>
      <c r="J38">
        <f t="shared" si="1"/>
        <v>-0.21100720400689355</v>
      </c>
      <c r="K38">
        <f>LN(VLOOKUP($B38,'Dev Acc 2000'!$D$4:$O$191,11,FALSE))-LN('Dev Acc 2000'!$N$150)</f>
        <v>-0.40330422245612851</v>
      </c>
      <c r="L38">
        <f t="shared" si="2"/>
        <v>0.66810881469868544</v>
      </c>
      <c r="M38">
        <f>VLOOKUP(A38,'Country FEs'!$A$3:$H$173,3)-US_avg_adoption_lag</f>
        <v>6.9416200000000003</v>
      </c>
      <c r="N38">
        <f t="shared" si="3"/>
        <v>-9.7182680000000007E-2</v>
      </c>
      <c r="O38">
        <f t="shared" si="4"/>
        <v>0.90739022894462162</v>
      </c>
      <c r="P38">
        <f t="shared" si="5"/>
        <v>-0.13883240000000002</v>
      </c>
      <c r="Q38">
        <f t="shared" si="6"/>
        <v>-0.37605519162420775</v>
      </c>
      <c r="R38">
        <f t="shared" si="7"/>
        <v>-0.34983831030812895</v>
      </c>
      <c r="S38">
        <f t="shared" si="8"/>
        <v>-0.40284125787820424</v>
      </c>
    </row>
    <row r="39" spans="1:19">
      <c r="A39">
        <f>'List of countries'!A38</f>
        <v>38</v>
      </c>
      <c r="B39" t="str">
        <f>'List of countries'!B38</f>
        <v>DOM</v>
      </c>
      <c r="C39" t="str">
        <f>'List of countries'!C38</f>
        <v>Dominican Republic</v>
      </c>
      <c r="D39" t="str">
        <f>'List of countries'!D38</f>
        <v>Latin</v>
      </c>
      <c r="E39">
        <f>'List of countries'!E38</f>
        <v>0</v>
      </c>
      <c r="F39">
        <f>-LN(VLOOKUP($B39,'Klenow - RC'!$B$2:$F$93,2,FALSE))</f>
        <v>1.5606477482646683</v>
      </c>
      <c r="G39">
        <f>LN(VLOOKUP($B39,'Klenow - RC'!$B$2:$F$93,5,FALSE))</f>
        <v>-0.59783700075562041</v>
      </c>
      <c r="H39">
        <f t="shared" si="0"/>
        <v>0.55000000000000004</v>
      </c>
      <c r="I39" t="e">
        <f>-LN(VLOOKUP($B39,'Dev Acc 2000'!$D$4:$O$191,4,FALSE))+LN('Dev Acc 2000'!$G$150)</f>
        <v>#N/A</v>
      </c>
      <c r="J39" t="e">
        <f t="shared" si="1"/>
        <v>#N/A</v>
      </c>
      <c r="K39" t="e">
        <f>LN(VLOOKUP($B39,'Dev Acc 2000'!$D$4:$O$191,11,FALSE))-LN('Dev Acc 2000'!$N$150)</f>
        <v>#N/A</v>
      </c>
      <c r="L39" t="e">
        <f t="shared" si="2"/>
        <v>#N/A</v>
      </c>
      <c r="M39">
        <f>VLOOKUP(A39,'Country FEs'!$A$3:$H$173,3)-US_avg_adoption_lag</f>
        <v>39.734220000000001</v>
      </c>
      <c r="N39">
        <f t="shared" si="3"/>
        <v>-0.55627908000000004</v>
      </c>
      <c r="O39">
        <f t="shared" si="4"/>
        <v>0.5733384462526403</v>
      </c>
      <c r="P39">
        <f t="shared" si="5"/>
        <v>-0.79468440000000007</v>
      </c>
      <c r="Q39">
        <f t="shared" si="6"/>
        <v>-0.4036168001465158</v>
      </c>
      <c r="R39" t="e">
        <f t="shared" si="7"/>
        <v>#N/A</v>
      </c>
      <c r="S39" t="e">
        <f t="shared" si="8"/>
        <v>#N/A</v>
      </c>
    </row>
    <row r="40" spans="1:19">
      <c r="A40">
        <f>'List of countries'!A39</f>
        <v>39</v>
      </c>
      <c r="B40" t="str">
        <f>'List of countries'!B39</f>
        <v>ECU</v>
      </c>
      <c r="C40" t="str">
        <f>'List of countries'!C39</f>
        <v>Ecuador</v>
      </c>
      <c r="D40" t="str">
        <f>'List of countries'!D39</f>
        <v>Latin</v>
      </c>
      <c r="E40">
        <f>'List of countries'!E39</f>
        <v>0</v>
      </c>
      <c r="F40">
        <f>-LN(VLOOKUP($B40,'Klenow - RC'!$B$2:$F$93,2,FALSE))</f>
        <v>1.2729656758128873</v>
      </c>
      <c r="G40">
        <f>LN(VLOOKUP($B40,'Klenow - RC'!$B$2:$F$93,5,FALSE))</f>
        <v>-0.54472717544167215</v>
      </c>
      <c r="H40">
        <f t="shared" si="0"/>
        <v>0.57999999999999996</v>
      </c>
      <c r="I40">
        <f>-LN(VLOOKUP($B40,'Dev Acc 2000'!$D$4:$O$191,4,FALSE))+LN('Dev Acc 2000'!$G$150)</f>
        <v>2.0750560143554111</v>
      </c>
      <c r="J40">
        <f t="shared" si="1"/>
        <v>-2.0750560143554111</v>
      </c>
      <c r="K40">
        <f>LN(VLOOKUP($B40,'Dev Acc 2000'!$D$4:$O$191,11,FALSE))-LN('Dev Acc 2000'!$N$150)</f>
        <v>-1.5920003959521729</v>
      </c>
      <c r="L40">
        <f t="shared" si="2"/>
        <v>0.20351808750675862</v>
      </c>
      <c r="M40">
        <f>VLOOKUP(A40,'Country FEs'!$A$3:$H$173,3)-US_avg_adoption_lag</f>
        <v>36.567630000000001</v>
      </c>
      <c r="N40">
        <f t="shared" si="3"/>
        <v>-0.51194682000000002</v>
      </c>
      <c r="O40">
        <f t="shared" si="4"/>
        <v>0.59932765924298903</v>
      </c>
      <c r="P40">
        <f t="shared" si="5"/>
        <v>-0.73135260000000013</v>
      </c>
      <c r="Q40">
        <f t="shared" si="6"/>
        <v>-0.39558817073082098</v>
      </c>
      <c r="R40">
        <f t="shared" si="7"/>
        <v>-0.50129884441129036</v>
      </c>
      <c r="S40">
        <f t="shared" si="8"/>
        <v>-0.69090151850204351</v>
      </c>
    </row>
    <row r="41" spans="1:19">
      <c r="A41">
        <f>'List of countries'!A40</f>
        <v>40</v>
      </c>
      <c r="B41" t="str">
        <f>'List of countries'!B40</f>
        <v>EGY</v>
      </c>
      <c r="C41" t="str">
        <f>'List of countries'!C40</f>
        <v>Egypt</v>
      </c>
      <c r="D41" t="str">
        <f>'List of countries'!D40</f>
        <v>other</v>
      </c>
      <c r="E41">
        <f>'List of countries'!E40</f>
        <v>0</v>
      </c>
      <c r="F41" t="e">
        <f>-LN(VLOOKUP($B41,'Klenow - RC'!$B$2:$F$93,2,FALSE))</f>
        <v>#N/A</v>
      </c>
      <c r="G41" t="e">
        <f>LN(VLOOKUP($B41,'Klenow - RC'!$B$2:$F$93,5,FALSE))</f>
        <v>#N/A</v>
      </c>
      <c r="H41" t="e">
        <f t="shared" si="0"/>
        <v>#N/A</v>
      </c>
      <c r="I41">
        <f>-LN(VLOOKUP($B41,'Dev Acc 2000'!$D$4:$O$191,4,FALSE))+LN('Dev Acc 2000'!$G$150)</f>
        <v>2.0250155727992549</v>
      </c>
      <c r="J41">
        <f t="shared" si="1"/>
        <v>-2.0250155727992549</v>
      </c>
      <c r="K41">
        <f>LN(VLOOKUP($B41,'Dev Acc 2000'!$D$4:$O$191,11,FALSE))-LN('Dev Acc 2000'!$N$150)</f>
        <v>-0.71591671840822713</v>
      </c>
      <c r="L41">
        <f t="shared" si="2"/>
        <v>0.4887438658713249</v>
      </c>
      <c r="M41">
        <f>VLOOKUP(A41,'Country FEs'!$A$3:$H$173,3)-US_avg_adoption_lag</f>
        <v>35.380810000000004</v>
      </c>
      <c r="N41">
        <f t="shared" si="3"/>
        <v>-0.49533134000000006</v>
      </c>
      <c r="O41">
        <f t="shared" si="4"/>
        <v>0.60936896552942577</v>
      </c>
      <c r="P41">
        <f t="shared" si="5"/>
        <v>-0.70761620000000014</v>
      </c>
      <c r="Q41" t="e">
        <f t="shared" si="6"/>
        <v>#N/A</v>
      </c>
      <c r="R41">
        <f t="shared" si="7"/>
        <v>-0.38967057077967726</v>
      </c>
      <c r="S41">
        <f t="shared" si="8"/>
        <v>-0.6831685328868744</v>
      </c>
    </row>
    <row r="42" spans="1:19">
      <c r="A42">
        <f>'List of countries'!A41</f>
        <v>41</v>
      </c>
      <c r="B42" t="str">
        <f>'List of countries'!B41</f>
        <v>ELS</v>
      </c>
      <c r="C42" t="str">
        <f>'List of countries'!C41</f>
        <v>El Salvador</v>
      </c>
      <c r="D42" t="str">
        <f>'List of countries'!D41</f>
        <v>Latin</v>
      </c>
      <c r="E42">
        <f>'List of countries'!E41</f>
        <v>0</v>
      </c>
      <c r="F42">
        <f>-LN(VLOOKUP($B42,'Klenow - RC'!$B$2:$F$93,2,FALSE))</f>
        <v>1.8325814637483102</v>
      </c>
      <c r="G42">
        <f>LN(VLOOKUP($B42,'Klenow - RC'!$B$2:$F$93,5,FALSE))</f>
        <v>-0.73396917508020043</v>
      </c>
      <c r="H42">
        <f t="shared" si="0"/>
        <v>0.48</v>
      </c>
      <c r="I42">
        <f>-LN(VLOOKUP($B42,'Dev Acc 2000'!$D$4:$O$191,4,FALSE))+LN('Dev Acc 2000'!$G$150)</f>
        <v>1.9826491617421009</v>
      </c>
      <c r="J42">
        <f t="shared" si="1"/>
        <v>-1.9826491617421009</v>
      </c>
      <c r="K42">
        <f>LN(VLOOKUP($B42,'Dev Acc 2000'!$D$4:$O$191,11,FALSE))-LN('Dev Acc 2000'!$N$150)</f>
        <v>-0.89596306179825902</v>
      </c>
      <c r="L42">
        <f t="shared" si="2"/>
        <v>0.40821427370063157</v>
      </c>
      <c r="M42">
        <f>VLOOKUP(A42,'Country FEs'!$A$3:$H$173,3)-US_avg_adoption_lag</f>
        <v>27.116220000000006</v>
      </c>
      <c r="N42">
        <f t="shared" si="3"/>
        <v>-0.37962708000000006</v>
      </c>
      <c r="O42">
        <f t="shared" si="4"/>
        <v>0.68411648236706368</v>
      </c>
      <c r="P42">
        <f t="shared" si="5"/>
        <v>-0.54232440000000015</v>
      </c>
      <c r="Q42">
        <f t="shared" si="6"/>
        <v>-0.42419594482914319</v>
      </c>
      <c r="R42">
        <f t="shared" si="7"/>
        <v>-0.41261160141576703</v>
      </c>
      <c r="S42">
        <f t="shared" si="8"/>
        <v>-0.6766214514247002</v>
      </c>
    </row>
    <row r="43" spans="1:19">
      <c r="A43">
        <f>'List of countries'!A42</f>
        <v>42</v>
      </c>
      <c r="B43" t="str">
        <f>'List of countries'!B42</f>
        <v>EQU</v>
      </c>
      <c r="C43" t="str">
        <f>'List of countries'!C42</f>
        <v>Equatorial Guinea</v>
      </c>
      <c r="D43" t="str">
        <f>'List of countries'!D42</f>
        <v>SubSaharan</v>
      </c>
      <c r="E43">
        <f>'List of countries'!E42</f>
        <v>0</v>
      </c>
      <c r="F43" t="e">
        <f>-LN(VLOOKUP($B43,'Klenow - RC'!$B$2:$F$93,2,FALSE))</f>
        <v>#N/A</v>
      </c>
      <c r="G43" t="e">
        <f>LN(VLOOKUP($B43,'Klenow - RC'!$B$2:$F$93,5,FALSE))</f>
        <v>#N/A</v>
      </c>
      <c r="H43" t="e">
        <f t="shared" si="0"/>
        <v>#N/A</v>
      </c>
      <c r="I43">
        <f>-LN(VLOOKUP($B43,'Dev Acc 2000'!$D$4:$O$191,4,FALSE))+LN('Dev Acc 2000'!$G$150)</f>
        <v>1.6660623895213149</v>
      </c>
      <c r="J43">
        <f t="shared" si="1"/>
        <v>-1.6660623895213149</v>
      </c>
      <c r="K43" t="e">
        <f>LN(VLOOKUP($B43,'Dev Acc 2000'!$D$4:$O$191,11,FALSE))-LN('Dev Acc 2000'!$N$150)</f>
        <v>#N/A</v>
      </c>
      <c r="L43" t="e">
        <f t="shared" si="2"/>
        <v>#N/A</v>
      </c>
      <c r="M43" t="e">
        <f>VLOOKUP(A43,'Country FEs'!$A$3:$H$173,3)-US_avg_adoption_lag</f>
        <v>#N/A</v>
      </c>
      <c r="N43" t="e">
        <f t="shared" si="3"/>
        <v>#N/A</v>
      </c>
      <c r="O43" t="e">
        <f t="shared" si="4"/>
        <v>#N/A</v>
      </c>
      <c r="P43" t="e">
        <f t="shared" si="5"/>
        <v>#N/A</v>
      </c>
      <c r="Q43" t="e">
        <f t="shared" si="6"/>
        <v>#N/A</v>
      </c>
      <c r="R43" t="e">
        <f t="shared" si="7"/>
        <v>#N/A</v>
      </c>
      <c r="S43">
        <f t="shared" si="8"/>
        <v>-0.62769780328325009</v>
      </c>
    </row>
    <row r="44" spans="1:19">
      <c r="A44">
        <f>'List of countries'!A43</f>
        <v>43</v>
      </c>
      <c r="B44" t="str">
        <f>'List of countries'!B43</f>
        <v>ERT</v>
      </c>
      <c r="C44" t="str">
        <f>'List of countries'!C43</f>
        <v>Eritrea</v>
      </c>
      <c r="D44" t="str">
        <f>'List of countries'!D43</f>
        <v>SubSaharan</v>
      </c>
      <c r="E44">
        <f>'List of countries'!E43</f>
        <v>0</v>
      </c>
      <c r="F44" t="e">
        <f>-LN(VLOOKUP($B44,'Klenow - RC'!$B$2:$F$93,2,FALSE))</f>
        <v>#N/A</v>
      </c>
      <c r="G44" t="e">
        <f>LN(VLOOKUP($B44,'Klenow - RC'!$B$2:$F$93,5,FALSE))</f>
        <v>#N/A</v>
      </c>
      <c r="H44" t="e">
        <f t="shared" si="0"/>
        <v>#N/A</v>
      </c>
      <c r="I44">
        <f>-LN(VLOOKUP($B44,'Dev Acc 2000'!$D$4:$O$191,4,FALSE))+LN('Dev Acc 2000'!$G$150)</f>
        <v>4.1251065914871612</v>
      </c>
      <c r="J44">
        <f t="shared" si="1"/>
        <v>-4.1251065914871612</v>
      </c>
      <c r="K44" t="e">
        <f>LN(VLOOKUP($B44,'Dev Acc 2000'!$D$4:$O$191,11,FALSE))-LN('Dev Acc 2000'!$N$150)</f>
        <v>#N/A</v>
      </c>
      <c r="L44" t="e">
        <f t="shared" si="2"/>
        <v>#N/A</v>
      </c>
      <c r="M44" t="e">
        <f>VLOOKUP(A44,'Country FEs'!$A$3:$H$173,3)-US_avg_adoption_lag</f>
        <v>#N/A</v>
      </c>
      <c r="N44" t="e">
        <f t="shared" si="3"/>
        <v>#N/A</v>
      </c>
      <c r="O44" t="e">
        <f t="shared" si="4"/>
        <v>#N/A</v>
      </c>
      <c r="P44" t="e">
        <f t="shared" si="5"/>
        <v>#N/A</v>
      </c>
      <c r="Q44" t="e">
        <f t="shared" si="6"/>
        <v>#N/A</v>
      </c>
      <c r="R44" t="e">
        <f t="shared" si="7"/>
        <v>#N/A</v>
      </c>
      <c r="S44">
        <f t="shared" si="8"/>
        <v>-1.0077055100403403</v>
      </c>
    </row>
    <row r="45" spans="1:19">
      <c r="A45">
        <f>'List of countries'!A44</f>
        <v>44</v>
      </c>
      <c r="B45" t="str">
        <f>'List of countries'!B44</f>
        <v>EST</v>
      </c>
      <c r="C45" t="str">
        <f>'List of countries'!C44</f>
        <v>Estonia</v>
      </c>
      <c r="D45" t="str">
        <f>'List of countries'!D44</f>
        <v>other</v>
      </c>
      <c r="E45">
        <f>'List of countries'!E44</f>
        <v>0</v>
      </c>
      <c r="F45" t="e">
        <f>-LN(VLOOKUP($B45,'Klenow - RC'!$B$2:$F$93,2,FALSE))</f>
        <v>#N/A</v>
      </c>
      <c r="G45" t="e">
        <f>LN(VLOOKUP($B45,'Klenow - RC'!$B$2:$F$93,5,FALSE))</f>
        <v>#N/A</v>
      </c>
      <c r="H45" t="e">
        <f t="shared" si="0"/>
        <v>#N/A</v>
      </c>
      <c r="I45">
        <f>-LN(VLOOKUP($B45,'Dev Acc 2000'!$D$4:$O$191,4,FALSE))+LN('Dev Acc 2000'!$G$150)</f>
        <v>1.1318005378975116</v>
      </c>
      <c r="J45">
        <f t="shared" si="1"/>
        <v>-1.1318005378975116</v>
      </c>
      <c r="K45" t="e">
        <f>LN(VLOOKUP($B45,'Dev Acc 2000'!$D$4:$O$191,11,FALSE))-LN('Dev Acc 2000'!$N$150)</f>
        <v>#N/A</v>
      </c>
      <c r="L45" t="e">
        <f t="shared" si="2"/>
        <v>#N/A</v>
      </c>
      <c r="M45">
        <f>VLOOKUP(A45,'Country FEs'!$A$3:$H$173,3)-US_avg_adoption_lag</f>
        <v>26.377450000000003</v>
      </c>
      <c r="N45">
        <f t="shared" si="3"/>
        <v>-0.36928430000000007</v>
      </c>
      <c r="O45">
        <f t="shared" si="4"/>
        <v>0.69122886614621415</v>
      </c>
      <c r="P45">
        <f t="shared" si="5"/>
        <v>-0.52754900000000016</v>
      </c>
      <c r="Q45" t="e">
        <f t="shared" si="6"/>
        <v>#N/A</v>
      </c>
      <c r="R45" t="e">
        <f t="shared" si="7"/>
        <v>#N/A</v>
      </c>
      <c r="S45">
        <f t="shared" si="8"/>
        <v>-0.54513579773611343</v>
      </c>
    </row>
    <row r="46" spans="1:19">
      <c r="A46">
        <f>'List of countries'!A45</f>
        <v>45</v>
      </c>
      <c r="B46" t="str">
        <f>'List of countries'!B45</f>
        <v>ETH</v>
      </c>
      <c r="C46" t="str">
        <f>'List of countries'!C45</f>
        <v>Ethiopia</v>
      </c>
      <c r="D46" t="str">
        <f>'List of countries'!D45</f>
        <v>SubSaharan</v>
      </c>
      <c r="E46">
        <f>'List of countries'!E45</f>
        <v>0</v>
      </c>
      <c r="F46" t="e">
        <f>-LN(VLOOKUP($B46,'Klenow - RC'!$B$2:$F$93,2,FALSE))</f>
        <v>#N/A</v>
      </c>
      <c r="G46" t="e">
        <f>LN(VLOOKUP($B46,'Klenow - RC'!$B$2:$F$93,5,FALSE))</f>
        <v>#N/A</v>
      </c>
      <c r="H46" t="e">
        <f t="shared" si="0"/>
        <v>#N/A</v>
      </c>
      <c r="I46">
        <f>-LN(VLOOKUP($B46,'Dev Acc 2000'!$D$4:$O$191,4,FALSE))+LN('Dev Acc 2000'!$G$150)</f>
        <v>3.8581041465045187</v>
      </c>
      <c r="J46">
        <f t="shared" si="1"/>
        <v>-3.8581041465045187</v>
      </c>
      <c r="K46" t="e">
        <f>LN(VLOOKUP($B46,'Dev Acc 2000'!$D$4:$O$191,11,FALSE))-LN('Dev Acc 2000'!$N$150)</f>
        <v>#N/A</v>
      </c>
      <c r="L46" t="e">
        <f t="shared" si="2"/>
        <v>#N/A</v>
      </c>
      <c r="M46" t="e">
        <f>VLOOKUP(A46,'Country FEs'!$A$3:$H$173,3)-US_avg_adoption_lag</f>
        <v>#N/A</v>
      </c>
      <c r="N46" t="e">
        <f t="shared" si="3"/>
        <v>#N/A</v>
      </c>
      <c r="O46" t="e">
        <f t="shared" si="4"/>
        <v>#N/A</v>
      </c>
      <c r="P46" t="e">
        <f t="shared" si="5"/>
        <v>#N/A</v>
      </c>
      <c r="Q46" t="e">
        <f t="shared" si="6"/>
        <v>#N/A</v>
      </c>
      <c r="R46" t="e">
        <f t="shared" si="7"/>
        <v>#N/A</v>
      </c>
      <c r="S46">
        <f t="shared" si="8"/>
        <v>-0.96644436201572292</v>
      </c>
    </row>
    <row r="47" spans="1:19">
      <c r="A47">
        <f>'List of countries'!A46</f>
        <v>46</v>
      </c>
      <c r="B47" t="str">
        <f>'List of countries'!B46</f>
        <v>FIN</v>
      </c>
      <c r="C47" t="str">
        <f>'List of countries'!C46</f>
        <v>Finland</v>
      </c>
      <c r="D47" t="str">
        <f>'List of countries'!D46</f>
        <v>OECD</v>
      </c>
      <c r="E47">
        <f>'List of countries'!E46</f>
        <v>0</v>
      </c>
      <c r="F47">
        <f>-LN(VLOOKUP($B47,'Klenow - RC'!$B$2:$F$93,2,FALSE))</f>
        <v>0.35667494393873245</v>
      </c>
      <c r="G47">
        <f>LN(VLOOKUP($B47,'Klenow - RC'!$B$2:$F$93,5,FALSE))</f>
        <v>-0.43078291609245423</v>
      </c>
      <c r="H47">
        <f t="shared" si="0"/>
        <v>0.65</v>
      </c>
      <c r="I47">
        <f>-LN(VLOOKUP($B47,'Dev Acc 2000'!$D$4:$O$191,4,FALSE))+LN('Dev Acc 2000'!$G$150)</f>
        <v>0.41286842619685515</v>
      </c>
      <c r="J47">
        <f t="shared" si="1"/>
        <v>-0.41286842619685515</v>
      </c>
      <c r="K47">
        <f>LN(VLOOKUP($B47,'Dev Acc 2000'!$D$4:$O$191,11,FALSE))-LN('Dev Acc 2000'!$N$150)</f>
        <v>-0.59852098280536126</v>
      </c>
      <c r="L47">
        <f t="shared" si="2"/>
        <v>0.54962393849696256</v>
      </c>
      <c r="M47">
        <f>VLOOKUP(A47,'Country FEs'!$A$3:$H$173,3)-US_avg_adoption_lag</f>
        <v>11.372169999999997</v>
      </c>
      <c r="N47">
        <f t="shared" si="3"/>
        <v>-0.15921037999999996</v>
      </c>
      <c r="O47">
        <f t="shared" si="4"/>
        <v>0.85281692447050839</v>
      </c>
      <c r="P47">
        <f t="shared" si="5"/>
        <v>-0.22744339999999996</v>
      </c>
      <c r="Q47">
        <f t="shared" si="6"/>
        <v>-0.37836318030856059</v>
      </c>
      <c r="R47">
        <f t="shared" si="7"/>
        <v>-0.37471231549771666</v>
      </c>
      <c r="S47">
        <f t="shared" si="8"/>
        <v>-0.43403582529031792</v>
      </c>
    </row>
    <row r="48" spans="1:19">
      <c r="A48">
        <f>'List of countries'!A47</f>
        <v>47</v>
      </c>
      <c r="B48" t="str">
        <f>'List of countries'!B47</f>
        <v>FRA</v>
      </c>
      <c r="C48" t="str">
        <f>'List of countries'!C47</f>
        <v>France</v>
      </c>
      <c r="D48" t="str">
        <f>'List of countries'!D47</f>
        <v>OECD</v>
      </c>
      <c r="E48">
        <f>'List of countries'!E47</f>
        <v>0</v>
      </c>
      <c r="F48">
        <f>-LN(VLOOKUP($B48,'Klenow - RC'!$B$2:$F$93,2,FALSE))</f>
        <v>0.22314355131420971</v>
      </c>
      <c r="G48">
        <f>LN(VLOOKUP($B48,'Klenow - RC'!$B$2:$F$93,5,FALSE))</f>
        <v>3.9220713153281329E-2</v>
      </c>
      <c r="H48">
        <f t="shared" si="0"/>
        <v>1.04</v>
      </c>
      <c r="I48">
        <f>-LN(VLOOKUP($B48,'Dev Acc 2000'!$D$4:$O$191,4,FALSE))+LN('Dev Acc 2000'!$G$150)</f>
        <v>0.31636829327474025</v>
      </c>
      <c r="J48">
        <f t="shared" si="1"/>
        <v>-0.31636829327474025</v>
      </c>
      <c r="K48">
        <f>LN(VLOOKUP($B48,'Dev Acc 2000'!$D$4:$O$191,11,FALSE))-LN('Dev Acc 2000'!$N$150)</f>
        <v>-0.28150387360272333</v>
      </c>
      <c r="L48">
        <f t="shared" si="2"/>
        <v>0.75464799246310166</v>
      </c>
      <c r="M48">
        <f>VLOOKUP(A48,'Country FEs'!$A$3:$H$173,3)-US_avg_adoption_lag</f>
        <v>2.4154900000000055</v>
      </c>
      <c r="N48">
        <f t="shared" si="3"/>
        <v>-3.381686000000008E-2</v>
      </c>
      <c r="O48">
        <f t="shared" si="4"/>
        <v>0.96674853875338507</v>
      </c>
      <c r="P48">
        <f t="shared" si="5"/>
        <v>-4.8309800000000118E-2</v>
      </c>
      <c r="Q48">
        <f t="shared" si="6"/>
        <v>-0.3073125801429718</v>
      </c>
      <c r="R48">
        <f t="shared" si="7"/>
        <v>-0.33431883081234548</v>
      </c>
      <c r="S48">
        <f t="shared" si="8"/>
        <v>-0.41912320428733985</v>
      </c>
    </row>
    <row r="49" spans="1:19">
      <c r="A49">
        <f>'List of countries'!A48</f>
        <v>48</v>
      </c>
      <c r="B49" t="str">
        <f>'List of countries'!B48</f>
        <v>GAB</v>
      </c>
      <c r="C49" t="str">
        <f>'List of countries'!C48</f>
        <v>Gabon</v>
      </c>
      <c r="D49" t="str">
        <f>'List of countries'!D48</f>
        <v>SubSaharan</v>
      </c>
      <c r="E49">
        <f>'List of countries'!E48</f>
        <v>0</v>
      </c>
      <c r="F49" t="e">
        <f>-LN(VLOOKUP($B49,'Klenow - RC'!$B$2:$F$93,2,FALSE))</f>
        <v>#N/A</v>
      </c>
      <c r="G49" t="e">
        <f>LN(VLOOKUP($B49,'Klenow - RC'!$B$2:$F$93,5,FALSE))</f>
        <v>#N/A</v>
      </c>
      <c r="H49" t="e">
        <f t="shared" si="0"/>
        <v>#N/A</v>
      </c>
      <c r="I49">
        <f>-LN(VLOOKUP($B49,'Dev Acc 2000'!$D$4:$O$191,4,FALSE))+LN('Dev Acc 2000'!$G$150)</f>
        <v>1.1914918286734437</v>
      </c>
      <c r="J49">
        <f t="shared" si="1"/>
        <v>-1.1914918286734437</v>
      </c>
      <c r="K49" t="e">
        <f>LN(VLOOKUP($B49,'Dev Acc 2000'!$D$4:$O$191,11,FALSE))-LN('Dev Acc 2000'!$N$150)</f>
        <v>#N/A</v>
      </c>
      <c r="L49" t="e">
        <f t="shared" si="2"/>
        <v>#N/A</v>
      </c>
      <c r="M49">
        <f>VLOOKUP(A49,'Country FEs'!$A$3:$H$173,3)-US_avg_adoption_lag</f>
        <v>33.527140000000003</v>
      </c>
      <c r="N49">
        <f t="shared" si="3"/>
        <v>-0.46937996000000004</v>
      </c>
      <c r="O49">
        <f t="shared" si="4"/>
        <v>0.62538991485489792</v>
      </c>
      <c r="P49">
        <f t="shared" si="5"/>
        <v>-0.67054280000000011</v>
      </c>
      <c r="Q49" t="e">
        <f t="shared" si="6"/>
        <v>#N/A</v>
      </c>
      <c r="R49" t="e">
        <f t="shared" si="7"/>
        <v>#N/A</v>
      </c>
      <c r="S49">
        <f t="shared" si="8"/>
        <v>-0.55436017463141241</v>
      </c>
    </row>
    <row r="50" spans="1:19">
      <c r="A50">
        <f>'List of countries'!A49</f>
        <v>49</v>
      </c>
      <c r="B50" t="str">
        <f>'List of countries'!B49</f>
        <v>GAM</v>
      </c>
      <c r="C50" t="str">
        <f>'List of countries'!C49</f>
        <v>Gambia</v>
      </c>
      <c r="D50" t="str">
        <f>'List of countries'!D49</f>
        <v>SubSaharan</v>
      </c>
      <c r="E50">
        <f>'List of countries'!E49</f>
        <v>0</v>
      </c>
      <c r="F50">
        <f>-LN(VLOOKUP($B50,'Klenow - RC'!$B$2:$F$93,2,FALSE))</f>
        <v>2.9957322735539909</v>
      </c>
      <c r="G50">
        <f>LN(VLOOKUP($B50,'Klenow - RC'!$B$2:$F$93,5,FALSE))</f>
        <v>-1.7147984280919266</v>
      </c>
      <c r="H50">
        <f t="shared" si="0"/>
        <v>0.18000000000000002</v>
      </c>
      <c r="I50">
        <f>-LN(VLOOKUP($B50,'Dev Acc 2000'!$D$4:$O$191,4,FALSE))+LN('Dev Acc 2000'!$G$150)</f>
        <v>3.5842637101190657</v>
      </c>
      <c r="J50">
        <f t="shared" si="1"/>
        <v>-3.5842637101190657</v>
      </c>
      <c r="K50">
        <f>LN(VLOOKUP($B50,'Dev Acc 2000'!$D$4:$O$191,11,FALSE))-LN('Dev Acc 2000'!$N$150)</f>
        <v>-2.119136585051387</v>
      </c>
      <c r="L50">
        <f t="shared" si="2"/>
        <v>0.12013531036761103</v>
      </c>
      <c r="M50">
        <f>VLOOKUP(A50,'Country FEs'!$A$3:$H$173,3)-US_avg_adoption_lag</f>
        <v>28.185360000000003</v>
      </c>
      <c r="N50">
        <f t="shared" si="3"/>
        <v>-0.39459504000000006</v>
      </c>
      <c r="O50">
        <f t="shared" si="4"/>
        <v>0.6739529079642903</v>
      </c>
      <c r="P50">
        <f t="shared" si="5"/>
        <v>-0.56370720000000007</v>
      </c>
      <c r="Q50">
        <f t="shared" si="6"/>
        <v>-0.57246821923324887</v>
      </c>
      <c r="R50">
        <f t="shared" si="7"/>
        <v>-0.56846514857398966</v>
      </c>
      <c r="S50">
        <f t="shared" si="8"/>
        <v>-0.9241265069055925</v>
      </c>
    </row>
    <row r="51" spans="1:19">
      <c r="A51">
        <f>'List of countries'!A50</f>
        <v>50</v>
      </c>
      <c r="B51" t="str">
        <f>'List of countries'!B50</f>
        <v>GEO</v>
      </c>
      <c r="C51" t="str">
        <f>'List of countries'!C50</f>
        <v>Georgia</v>
      </c>
      <c r="D51" t="str">
        <f>'List of countries'!D50</f>
        <v>other</v>
      </c>
      <c r="E51">
        <f>'List of countries'!E50</f>
        <v>0</v>
      </c>
      <c r="F51" t="e">
        <f>-LN(VLOOKUP($B51,'Klenow - RC'!$B$2:$F$93,2,FALSE))</f>
        <v>#N/A</v>
      </c>
      <c r="G51" t="e">
        <f>LN(VLOOKUP($B51,'Klenow - RC'!$B$2:$F$93,5,FALSE))</f>
        <v>#N/A</v>
      </c>
      <c r="H51" t="e">
        <f t="shared" si="0"/>
        <v>#N/A</v>
      </c>
      <c r="I51">
        <f>-LN(VLOOKUP($B51,'Dev Acc 2000'!$D$4:$O$191,4,FALSE))+LN('Dev Acc 2000'!$G$150)</f>
        <v>2.1796862632378122</v>
      </c>
      <c r="J51">
        <f t="shared" si="1"/>
        <v>-2.1796862632378122</v>
      </c>
      <c r="K51" t="e">
        <f>LN(VLOOKUP($B51,'Dev Acc 2000'!$D$4:$O$191,11,FALSE))-LN('Dev Acc 2000'!$N$150)</f>
        <v>#N/A</v>
      </c>
      <c r="L51" t="e">
        <f t="shared" si="2"/>
        <v>#N/A</v>
      </c>
      <c r="M51" t="e">
        <f>VLOOKUP(A51,'Country FEs'!$A$3:$H$173,3)-US_avg_adoption_lag</f>
        <v>#N/A</v>
      </c>
      <c r="N51" t="e">
        <f t="shared" si="3"/>
        <v>#N/A</v>
      </c>
      <c r="O51" t="e">
        <f t="shared" si="4"/>
        <v>#N/A</v>
      </c>
      <c r="P51" t="e">
        <f t="shared" si="5"/>
        <v>#N/A</v>
      </c>
      <c r="Q51" t="e">
        <f t="shared" si="6"/>
        <v>#N/A</v>
      </c>
      <c r="R51" t="e">
        <f t="shared" si="7"/>
        <v>#N/A</v>
      </c>
      <c r="S51">
        <f t="shared" si="8"/>
        <v>-0.70707052469698672</v>
      </c>
    </row>
    <row r="52" spans="1:19">
      <c r="A52">
        <f>'List of countries'!A51</f>
        <v>51</v>
      </c>
      <c r="B52" t="str">
        <f>'List of countries'!B51</f>
        <v>GER</v>
      </c>
      <c r="C52" t="str">
        <f>'List of countries'!C51</f>
        <v>Germany</v>
      </c>
      <c r="D52" t="str">
        <f>'List of countries'!D51</f>
        <v>OECD</v>
      </c>
      <c r="E52">
        <f>'List of countries'!E51</f>
        <v>0</v>
      </c>
      <c r="F52">
        <f>-LN(VLOOKUP($B52,'Klenow - RC'!$B$2:$F$93,2,FALSE))</f>
        <v>0.21072103131565253</v>
      </c>
      <c r="G52">
        <f>LN(VLOOKUP($B52,'Klenow - RC'!$B$2:$F$93,5,FALSE))</f>
        <v>-0.23572233352106983</v>
      </c>
      <c r="H52">
        <f t="shared" si="0"/>
        <v>0.79</v>
      </c>
      <c r="I52">
        <f>-LN(VLOOKUP($B52,'Dev Acc 2000'!$D$4:$O$191,4,FALSE))+LN('Dev Acc 2000'!$G$150)</f>
        <v>0.31569764337801409</v>
      </c>
      <c r="J52">
        <f t="shared" si="1"/>
        <v>-0.31569764337801409</v>
      </c>
      <c r="K52">
        <f>LN(VLOOKUP($B52,'Dev Acc 2000'!$D$4:$O$191,11,FALSE))-LN('Dev Acc 2000'!$N$150)</f>
        <v>-0.49855507446891423</v>
      </c>
      <c r="L52">
        <f t="shared" si="2"/>
        <v>0.60740768481362994</v>
      </c>
      <c r="M52">
        <f>VLOOKUP(A52,'Country FEs'!$A$3:$H$173,3)-US_avg_adoption_lag</f>
        <v>-0.26594000000000051</v>
      </c>
      <c r="N52">
        <f t="shared" si="3"/>
        <v>3.723160000000007E-3</v>
      </c>
      <c r="O52">
        <f t="shared" si="4"/>
        <v>1.0037300995698963</v>
      </c>
      <c r="P52">
        <f t="shared" si="5"/>
        <v>5.3188000000000107E-3</v>
      </c>
      <c r="Q52">
        <f t="shared" si="6"/>
        <v>-0.34887580915232608</v>
      </c>
      <c r="R52">
        <f t="shared" si="7"/>
        <v>-0.36197492287684579</v>
      </c>
      <c r="S52">
        <f t="shared" si="8"/>
        <v>-0.41901956559345704</v>
      </c>
    </row>
    <row r="53" spans="1:19">
      <c r="A53">
        <f>'List of countries'!A52</f>
        <v>52</v>
      </c>
      <c r="B53" t="str">
        <f>'List of countries'!B52</f>
        <v>GME</v>
      </c>
      <c r="C53" t="str">
        <f>'List of countries'!C52</f>
        <v>East Germany</v>
      </c>
      <c r="D53" t="str">
        <f>'List of countries'!D52</f>
        <v>other</v>
      </c>
      <c r="E53">
        <f>'List of countries'!E52</f>
        <v>0</v>
      </c>
      <c r="F53" t="e">
        <f>-LN(VLOOKUP($B53,'Klenow - RC'!$B$2:$F$93,2,FALSE))</f>
        <v>#N/A</v>
      </c>
      <c r="G53" t="e">
        <f>LN(VLOOKUP($B53,'Klenow - RC'!$B$2:$F$93,5,FALSE))</f>
        <v>#N/A</v>
      </c>
      <c r="H53" t="e">
        <f t="shared" si="0"/>
        <v>#N/A</v>
      </c>
      <c r="I53" t="e">
        <f>-LN(VLOOKUP($B53,'Dev Acc 2000'!$D$4:$O$191,4,FALSE))+LN('Dev Acc 2000'!$G$150)</f>
        <v>#N/A</v>
      </c>
      <c r="J53" t="e">
        <f t="shared" si="1"/>
        <v>#N/A</v>
      </c>
      <c r="K53" t="e">
        <f>LN(VLOOKUP($B53,'Dev Acc 2000'!$D$4:$O$191,11,FALSE))-LN('Dev Acc 2000'!$N$150)</f>
        <v>#N/A</v>
      </c>
      <c r="L53" t="e">
        <f t="shared" si="2"/>
        <v>#N/A</v>
      </c>
      <c r="M53" t="e">
        <f>VLOOKUP(A53,'Country FEs'!$A$3:$H$173,3)-US_avg_adoption_lag</f>
        <v>#N/A</v>
      </c>
      <c r="N53" t="e">
        <f t="shared" si="3"/>
        <v>#N/A</v>
      </c>
      <c r="O53" t="e">
        <f t="shared" si="4"/>
        <v>#N/A</v>
      </c>
      <c r="P53" t="e">
        <f t="shared" si="5"/>
        <v>#N/A</v>
      </c>
      <c r="Q53" t="e">
        <f t="shared" si="6"/>
        <v>#N/A</v>
      </c>
      <c r="R53" t="e">
        <f t="shared" si="7"/>
        <v>#N/A</v>
      </c>
      <c r="S53" t="e">
        <f t="shared" si="8"/>
        <v>#N/A</v>
      </c>
    </row>
    <row r="54" spans="1:19">
      <c r="A54">
        <f>'List of countries'!A53</f>
        <v>54</v>
      </c>
      <c r="B54" t="str">
        <f>'List of countries'!B53</f>
        <v>GHA</v>
      </c>
      <c r="C54" t="str">
        <f>'List of countries'!C53</f>
        <v>Ghana</v>
      </c>
      <c r="D54" t="str">
        <f>'List of countries'!D53</f>
        <v>SubSaharan</v>
      </c>
      <c r="E54">
        <f>'List of countries'!E53</f>
        <v>0</v>
      </c>
      <c r="F54">
        <f>-LN(VLOOKUP($B54,'Klenow - RC'!$B$2:$F$93,2,FALSE))</f>
        <v>2.6592600369327779</v>
      </c>
      <c r="G54">
        <f>LN(VLOOKUP($B54,'Klenow - RC'!$B$2:$F$93,5,FALSE))</f>
        <v>-1.6094379124341003</v>
      </c>
      <c r="H54">
        <f t="shared" si="0"/>
        <v>0.2</v>
      </c>
      <c r="I54">
        <f>-LN(VLOOKUP($B54,'Dev Acc 2000'!$D$4:$O$191,4,FALSE))+LN('Dev Acc 2000'!$G$150)</f>
        <v>3.2061383488102004</v>
      </c>
      <c r="J54">
        <f t="shared" si="1"/>
        <v>-3.2061383488102004</v>
      </c>
      <c r="K54">
        <f>LN(VLOOKUP($B54,'Dev Acc 2000'!$D$4:$O$191,11,FALSE))-LN('Dev Acc 2000'!$N$150)</f>
        <v>-1.9641189535130232</v>
      </c>
      <c r="L54">
        <f t="shared" si="2"/>
        <v>0.14027942488083325</v>
      </c>
      <c r="M54">
        <f>VLOOKUP(A54,'Country FEs'!$A$3:$H$173,3)-US_avg_adoption_lag</f>
        <v>31.775190000000002</v>
      </c>
      <c r="N54">
        <f t="shared" si="3"/>
        <v>-0.44485266000000001</v>
      </c>
      <c r="O54">
        <f t="shared" si="4"/>
        <v>0.64091870203734236</v>
      </c>
      <c r="P54">
        <f t="shared" si="5"/>
        <v>-0.63550380000000006</v>
      </c>
      <c r="Q54">
        <f t="shared" si="6"/>
        <v>-0.55654083611227612</v>
      </c>
      <c r="R54">
        <f t="shared" si="7"/>
        <v>-0.54871321044908261</v>
      </c>
      <c r="S54">
        <f t="shared" si="8"/>
        <v>-0.86569301014176581</v>
      </c>
    </row>
    <row r="55" spans="1:19">
      <c r="A55">
        <f>'List of countries'!A54</f>
        <v>55</v>
      </c>
      <c r="B55" t="str">
        <f>'List of countries'!B54</f>
        <v>GRE</v>
      </c>
      <c r="C55" t="str">
        <f>'List of countries'!C54</f>
        <v>Greece</v>
      </c>
      <c r="D55" t="str">
        <f>'List of countries'!D54</f>
        <v>OECD</v>
      </c>
      <c r="E55">
        <f>'List of countries'!E54</f>
        <v>0</v>
      </c>
      <c r="F55">
        <f>-LN(VLOOKUP($B55,'Klenow - RC'!$B$2:$F$93,2,FALSE))</f>
        <v>0.73396917508020043</v>
      </c>
      <c r="G55">
        <f>LN(VLOOKUP($B55,'Klenow - RC'!$B$2:$F$93,5,FALSE))</f>
        <v>-0.43078291609245423</v>
      </c>
      <c r="H55">
        <f t="shared" si="0"/>
        <v>0.65</v>
      </c>
      <c r="I55">
        <f>-LN(VLOOKUP($B55,'Dev Acc 2000'!$D$4:$O$191,4,FALSE))+LN('Dev Acc 2000'!$G$150)</f>
        <v>0.89922571411756813</v>
      </c>
      <c r="J55">
        <f t="shared" si="1"/>
        <v>-0.89922571411756813</v>
      </c>
      <c r="K55">
        <f>LN(VLOOKUP($B55,'Dev Acc 2000'!$D$4:$O$191,11,FALSE))-LN('Dev Acc 2000'!$N$150)</f>
        <v>-0.85888992739179315</v>
      </c>
      <c r="L55">
        <f t="shared" si="2"/>
        <v>0.42363208377376887</v>
      </c>
      <c r="M55">
        <f>VLOOKUP(A55,'Country FEs'!$A$3:$H$173,3)-US_avg_adoption_lag</f>
        <v>22.40061</v>
      </c>
      <c r="N55">
        <f t="shared" si="3"/>
        <v>-0.31360853999999999</v>
      </c>
      <c r="O55">
        <f t="shared" si="4"/>
        <v>0.73080505311820076</v>
      </c>
      <c r="P55">
        <f t="shared" si="5"/>
        <v>-0.44801220000000003</v>
      </c>
      <c r="Q55">
        <f t="shared" si="6"/>
        <v>-0.37836318030856059</v>
      </c>
      <c r="R55">
        <f t="shared" si="7"/>
        <v>-0.40788784032081277</v>
      </c>
      <c r="S55">
        <f t="shared" si="8"/>
        <v>-0.50919491250786231</v>
      </c>
    </row>
    <row r="56" spans="1:19">
      <c r="A56">
        <f>'List of countries'!A55</f>
        <v>56</v>
      </c>
      <c r="B56" t="str">
        <f>'List of countries'!B55</f>
        <v>GUA</v>
      </c>
      <c r="C56" t="str">
        <f>'List of countries'!C55</f>
        <v>Guatemala</v>
      </c>
      <c r="D56" t="str">
        <f>'List of countries'!D55</f>
        <v>Latin</v>
      </c>
      <c r="E56">
        <f>'List of countries'!E55</f>
        <v>0</v>
      </c>
      <c r="F56">
        <f>-LN(VLOOKUP($B56,'Klenow - RC'!$B$2:$F$93,2,FALSE))</f>
        <v>1.5141277326297755</v>
      </c>
      <c r="G56">
        <f>LN(VLOOKUP($B56,'Klenow - RC'!$B$2:$F$93,5,FALSE))</f>
        <v>-0.4780358009429998</v>
      </c>
      <c r="H56">
        <f t="shared" si="0"/>
        <v>0.62</v>
      </c>
      <c r="I56">
        <f>-LN(VLOOKUP($B56,'Dev Acc 2000'!$D$4:$O$191,4,FALSE))+LN('Dev Acc 2000'!$G$150)</f>
        <v>2.1864950239933254</v>
      </c>
      <c r="J56">
        <f t="shared" si="1"/>
        <v>-2.1864950239933254</v>
      </c>
      <c r="K56">
        <f>LN(VLOOKUP($B56,'Dev Acc 2000'!$D$4:$O$191,11,FALSE))-LN('Dev Acc 2000'!$N$150)</f>
        <v>-0.54906816921607948</v>
      </c>
      <c r="L56">
        <f t="shared" si="2"/>
        <v>0.57748768053764166</v>
      </c>
      <c r="M56">
        <f>VLOOKUP(A56,'Country FEs'!$A$3:$H$173,3)-US_avg_adoption_lag</f>
        <v>14.91058000000001</v>
      </c>
      <c r="N56">
        <f t="shared" si="3"/>
        <v>-0.20874812000000015</v>
      </c>
      <c r="O56">
        <f t="shared" si="4"/>
        <v>0.81159963561641713</v>
      </c>
      <c r="P56">
        <f t="shared" si="5"/>
        <v>-0.29821160000000024</v>
      </c>
      <c r="Q56">
        <f t="shared" si="6"/>
        <v>-0.3855064141460835</v>
      </c>
      <c r="R56">
        <f t="shared" si="7"/>
        <v>-0.36841116830288079</v>
      </c>
      <c r="S56">
        <f t="shared" si="8"/>
        <v>-0.70812271463260956</v>
      </c>
    </row>
    <row r="57" spans="1:19">
      <c r="A57">
        <f>'List of countries'!A56</f>
        <v>57</v>
      </c>
      <c r="B57" t="str">
        <f>'List of countries'!B56</f>
        <v>GUI</v>
      </c>
      <c r="C57" t="str">
        <f>'List of countries'!C56</f>
        <v>Guinea</v>
      </c>
      <c r="D57" t="str">
        <f>'List of countries'!D56</f>
        <v>SubSaharan</v>
      </c>
      <c r="E57">
        <f>'List of countries'!E56</f>
        <v>0</v>
      </c>
      <c r="F57" t="e">
        <f>-LN(VLOOKUP($B57,'Klenow - RC'!$B$2:$F$93,2,FALSE))</f>
        <v>#N/A</v>
      </c>
      <c r="G57" t="e">
        <f>LN(VLOOKUP($B57,'Klenow - RC'!$B$2:$F$93,5,FALSE))</f>
        <v>#N/A</v>
      </c>
      <c r="H57" t="e">
        <f t="shared" si="0"/>
        <v>#N/A</v>
      </c>
      <c r="I57">
        <f>-LN(VLOOKUP($B57,'Dev Acc 2000'!$D$4:$O$191,4,FALSE))+LN('Dev Acc 2000'!$G$150)</f>
        <v>2.6024527474868249</v>
      </c>
      <c r="J57">
        <f t="shared" si="1"/>
        <v>-2.6024527474868249</v>
      </c>
      <c r="K57">
        <f>LN(VLOOKUP($B57,'Dev Acc 2000'!$D$4:$O$191,11,FALSE))-LN('Dev Acc 2000'!$N$150)</f>
        <v>-1.1236243126517564</v>
      </c>
      <c r="L57">
        <f t="shared" si="2"/>
        <v>0.32509939499613433</v>
      </c>
      <c r="M57">
        <f>VLOOKUP(A57,'Country FEs'!$A$3:$H$173,3)-US_avg_adoption_lag</f>
        <v>43.766510000000004</v>
      </c>
      <c r="N57">
        <f t="shared" si="3"/>
        <v>-0.61273114000000006</v>
      </c>
      <c r="O57">
        <f t="shared" si="4"/>
        <v>0.54186892639956052</v>
      </c>
      <c r="P57">
        <f t="shared" si="5"/>
        <v>-0.87533020000000017</v>
      </c>
      <c r="Q57" t="e">
        <f t="shared" si="6"/>
        <v>#N/A</v>
      </c>
      <c r="R57">
        <f t="shared" si="7"/>
        <v>-0.44161959809119278</v>
      </c>
      <c r="S57">
        <f t="shared" si="8"/>
        <v>-0.77240262488647993</v>
      </c>
    </row>
    <row r="58" spans="1:19">
      <c r="A58">
        <f>'List of countries'!A57</f>
        <v>58</v>
      </c>
      <c r="B58" t="str">
        <f>'List of countries'!B57</f>
        <v>GNB</v>
      </c>
      <c r="C58" t="str">
        <f>'List of countries'!C57</f>
        <v>Guinea-Bissau</v>
      </c>
      <c r="D58" t="str">
        <f>'List of countries'!D57</f>
        <v>SubSaharan</v>
      </c>
      <c r="E58">
        <f>'List of countries'!E57</f>
        <v>0</v>
      </c>
      <c r="F58">
        <f>-LN(VLOOKUP($B58,'Klenow - RC'!$B$2:$F$93,2,FALSE))</f>
        <v>3.2188758248682006</v>
      </c>
      <c r="G58">
        <f>LN(VLOOKUP($B58,'Klenow - RC'!$B$2:$F$93,5,FALSE))</f>
        <v>-2.3025850929940455</v>
      </c>
      <c r="H58">
        <f t="shared" si="0"/>
        <v>0.10000000000000002</v>
      </c>
      <c r="I58">
        <f>-LN(VLOOKUP($B58,'Dev Acc 2000'!$D$4:$O$191,4,FALSE))+LN('Dev Acc 2000'!$G$150)</f>
        <v>3.8083064785606204</v>
      </c>
      <c r="J58">
        <f t="shared" si="1"/>
        <v>-3.8083064785606204</v>
      </c>
      <c r="K58">
        <f>LN(VLOOKUP($B58,'Dev Acc 2000'!$D$4:$O$191,11,FALSE))-LN('Dev Acc 2000'!$N$150)</f>
        <v>-2.2044890497608662</v>
      </c>
      <c r="L58">
        <f t="shared" si="2"/>
        <v>0.11030687223076603</v>
      </c>
      <c r="M58" t="e">
        <f>VLOOKUP(A58,'Country FEs'!$A$3:$H$173,3)-US_avg_adoption_lag</f>
        <v>#N/A</v>
      </c>
      <c r="N58" t="e">
        <f t="shared" si="3"/>
        <v>#N/A</v>
      </c>
      <c r="O58" t="e">
        <f t="shared" si="4"/>
        <v>#N/A</v>
      </c>
      <c r="P58" t="e">
        <f t="shared" si="5"/>
        <v>#N/A</v>
      </c>
      <c r="Q58">
        <f t="shared" si="6"/>
        <v>-0.66132411887310116</v>
      </c>
      <c r="R58">
        <f t="shared" si="7"/>
        <v>-0.5793405347156797</v>
      </c>
      <c r="S58">
        <f t="shared" si="8"/>
        <v>-0.95874889335270186</v>
      </c>
    </row>
    <row r="59" spans="1:19">
      <c r="A59">
        <f>'List of countries'!A58</f>
        <v>59</v>
      </c>
      <c r="B59" t="str">
        <f>'List of countries'!B58</f>
        <v>GUY</v>
      </c>
      <c r="C59" t="str">
        <f>'List of countries'!C58</f>
        <v>Guyana</v>
      </c>
      <c r="D59" t="str">
        <f>'List of countries'!D58</f>
        <v>Latin</v>
      </c>
      <c r="E59">
        <f>'List of countries'!E58</f>
        <v>0</v>
      </c>
      <c r="F59">
        <f>-LN(VLOOKUP($B59,'Klenow - RC'!$B$2:$F$93,2,FALSE))</f>
        <v>2.2072749131897207</v>
      </c>
      <c r="G59">
        <f>LN(VLOOKUP($B59,'Klenow - RC'!$B$2:$F$93,5,FALSE))</f>
        <v>-1.7719568419318752</v>
      </c>
      <c r="H59">
        <f t="shared" si="0"/>
        <v>0.17</v>
      </c>
      <c r="I59">
        <f>-LN(VLOOKUP($B59,'Dev Acc 2000'!$D$4:$O$191,4,FALSE))+LN('Dev Acc 2000'!$G$150)</f>
        <v>2.2197632166356112</v>
      </c>
      <c r="J59">
        <f t="shared" si="1"/>
        <v>-2.2197632166356112</v>
      </c>
      <c r="K59" t="e">
        <f>NA()</f>
        <v>#N/A</v>
      </c>
      <c r="L59" t="e">
        <f t="shared" si="2"/>
        <v>#N/A</v>
      </c>
      <c r="M59" t="e">
        <f>VLOOKUP(A59,'Country FEs'!$A$3:$H$173,3)-US_avg_adoption_lag</f>
        <v>#N/A</v>
      </c>
      <c r="N59" t="e">
        <f t="shared" si="3"/>
        <v>#N/A</v>
      </c>
      <c r="O59" t="e">
        <f t="shared" si="4"/>
        <v>#N/A</v>
      </c>
      <c r="P59" t="e">
        <f t="shared" si="5"/>
        <v>#N/A</v>
      </c>
      <c r="Q59">
        <f t="shared" si="6"/>
        <v>-0.58110887508171283</v>
      </c>
      <c r="R59" t="e">
        <f t="shared" si="7"/>
        <v>#N/A</v>
      </c>
      <c r="S59">
        <f t="shared" si="8"/>
        <v>-0.71326380546125012</v>
      </c>
    </row>
    <row r="60" spans="1:19">
      <c r="A60">
        <f>'List of countries'!A59</f>
        <v>60</v>
      </c>
      <c r="B60" t="str">
        <f>'List of countries'!B59</f>
        <v>HAI</v>
      </c>
      <c r="C60" t="str">
        <f>'List of countries'!C59</f>
        <v>Haiti</v>
      </c>
      <c r="D60" t="str">
        <f>'List of countries'!D59</f>
        <v>Latin</v>
      </c>
      <c r="E60">
        <f>'List of countries'!E59</f>
        <v>0</v>
      </c>
      <c r="F60">
        <f>-LN(VLOOKUP($B60,'Klenow - RC'!$B$2:$F$93,2,FALSE))</f>
        <v>2.8134107167600364</v>
      </c>
      <c r="G60">
        <f>LN(VLOOKUP($B60,'Klenow - RC'!$B$2:$F$93,5,FALSE))</f>
        <v>-1.5141277326297755</v>
      </c>
      <c r="H60">
        <f t="shared" si="0"/>
        <v>0.22</v>
      </c>
      <c r="I60">
        <f>-LN(VLOOKUP($B60,'Dev Acc 2000'!$D$4:$O$191,4,FALSE))+LN('Dev Acc 2000'!$G$150)</f>
        <v>2.8098196590106372</v>
      </c>
      <c r="J60">
        <f t="shared" si="1"/>
        <v>-2.8098196590106372</v>
      </c>
      <c r="K60">
        <f>LN(VLOOKUP($B60,'Dev Acc 2000'!$D$4:$O$191,11,FALSE))-LN('Dev Acc 2000'!$N$150)</f>
        <v>-0.98850721998827851</v>
      </c>
      <c r="L60">
        <f t="shared" si="2"/>
        <v>0.37213178749460335</v>
      </c>
      <c r="M60">
        <f>VLOOKUP(A60,'Country FEs'!$A$3:$H$173,3)-US_avg_adoption_lag</f>
        <v>46.345910000000003</v>
      </c>
      <c r="N60">
        <f t="shared" si="3"/>
        <v>-0.64884274000000008</v>
      </c>
      <c r="O60">
        <f t="shared" si="4"/>
        <v>0.52265026916660717</v>
      </c>
      <c r="P60">
        <f t="shared" si="5"/>
        <v>-0.92691820000000014</v>
      </c>
      <c r="Q60">
        <f t="shared" si="6"/>
        <v>-0.54213276550257694</v>
      </c>
      <c r="R60">
        <f t="shared" si="7"/>
        <v>-0.42440333418997411</v>
      </c>
      <c r="S60">
        <f t="shared" si="8"/>
        <v>-0.80444801245717423</v>
      </c>
    </row>
    <row r="61" spans="1:19">
      <c r="A61">
        <f>'List of countries'!A60</f>
        <v>61</v>
      </c>
      <c r="B61" t="str">
        <f>'List of countries'!B60</f>
        <v>HON</v>
      </c>
      <c r="C61" t="str">
        <f>'List of countries'!C60</f>
        <v>Honduras</v>
      </c>
      <c r="D61" t="str">
        <f>'List of countries'!D60</f>
        <v>Latin</v>
      </c>
      <c r="E61">
        <f>'List of countries'!E60</f>
        <v>0</v>
      </c>
      <c r="F61">
        <f>-LN(VLOOKUP($B61,'Klenow - RC'!$B$2:$F$93,2,FALSE))</f>
        <v>1.9661128563728327</v>
      </c>
      <c r="G61">
        <f>LN(VLOOKUP($B61,'Klenow - RC'!$B$2:$F$93,5,FALSE))</f>
        <v>-0.96758402626170559</v>
      </c>
      <c r="H61">
        <f t="shared" si="0"/>
        <v>0.38</v>
      </c>
      <c r="I61">
        <f>-LN(VLOOKUP($B61,'Dev Acc 2000'!$D$4:$O$191,4,FALSE))+LN('Dev Acc 2000'!$G$150)</f>
        <v>2.7307019917407303</v>
      </c>
      <c r="J61">
        <f t="shared" si="1"/>
        <v>-2.7307019917407303</v>
      </c>
      <c r="K61">
        <f>LN(VLOOKUP($B61,'Dev Acc 2000'!$D$4:$O$191,11,FALSE))-LN('Dev Acc 2000'!$N$150)</f>
        <v>-1.7238249329420761</v>
      </c>
      <c r="L61">
        <f t="shared" si="2"/>
        <v>0.17838254011396601</v>
      </c>
      <c r="M61">
        <f>VLOOKUP(A61,'Country FEs'!$A$3:$H$173,3)-US_avg_adoption_lag</f>
        <v>44.490810000000003</v>
      </c>
      <c r="N61">
        <f t="shared" si="3"/>
        <v>-0.62287134000000011</v>
      </c>
      <c r="O61">
        <f t="shared" si="4"/>
        <v>0.53640203165887024</v>
      </c>
      <c r="P61">
        <f t="shared" si="5"/>
        <v>-0.88981620000000017</v>
      </c>
      <c r="Q61">
        <f t="shared" si="6"/>
        <v>-0.45951157720133995</v>
      </c>
      <c r="R61">
        <f t="shared" si="7"/>
        <v>-0.51809557954476904</v>
      </c>
      <c r="S61">
        <f t="shared" si="8"/>
        <v>-0.79222158591340874</v>
      </c>
    </row>
    <row r="62" spans="1:19">
      <c r="A62">
        <f>'List of countries'!A61</f>
        <v>62</v>
      </c>
      <c r="B62" t="str">
        <f>'List of countries'!B61</f>
        <v>HNK</v>
      </c>
      <c r="C62" t="str">
        <f>'List of countries'!C61</f>
        <v>Hong Kong</v>
      </c>
      <c r="D62" t="str">
        <f>'List of countries'!D61</f>
        <v>Tigers</v>
      </c>
      <c r="E62">
        <f>'List of countries'!E61</f>
        <v>0</v>
      </c>
      <c r="F62">
        <f>-LN(VLOOKUP($B62,'Klenow - RC'!$B$2:$F$93,2,FALSE))</f>
        <v>0.71334988787746478</v>
      </c>
      <c r="G62">
        <f>LN(VLOOKUP($B62,'Klenow - RC'!$B$2:$F$93,5,FALSE))</f>
        <v>-0.12783337150988489</v>
      </c>
      <c r="H62">
        <f t="shared" si="0"/>
        <v>0.88</v>
      </c>
      <c r="I62">
        <f>-LN(VLOOKUP($B62,'Dev Acc 2000'!$D$4:$O$191,4,FALSE))+LN('Dev Acc 2000'!$G$150)</f>
        <v>0.23247884717634193</v>
      </c>
      <c r="J62">
        <f t="shared" si="1"/>
        <v>-0.23247884717634193</v>
      </c>
      <c r="K62">
        <f>LN(VLOOKUP($B62,'Dev Acc 2000'!$D$4:$O$191,11,FALSE))-LN('Dev Acc 2000'!$N$150)</f>
        <v>-0.28934477474583886</v>
      </c>
      <c r="L62">
        <f t="shared" si="2"/>
        <v>0.74875400942220582</v>
      </c>
      <c r="M62">
        <f>VLOOKUP(A62,'Country FEs'!$A$3:$H$173,3)-US_avg_adoption_lag</f>
        <v>39.805580000000006</v>
      </c>
      <c r="N62">
        <f t="shared" si="3"/>
        <v>-0.5572781200000001</v>
      </c>
      <c r="O62">
        <f t="shared" si="4"/>
        <v>0.57276594423512073</v>
      </c>
      <c r="P62">
        <f t="shared" si="5"/>
        <v>-0.79611160000000014</v>
      </c>
      <c r="Q62">
        <f t="shared" si="6"/>
        <v>-0.33256619998092696</v>
      </c>
      <c r="R62">
        <f t="shared" si="7"/>
        <v>-0.33531789777450582</v>
      </c>
      <c r="S62">
        <f t="shared" si="8"/>
        <v>-0.4061593722393067</v>
      </c>
    </row>
    <row r="63" spans="1:19">
      <c r="A63">
        <f>'List of countries'!A62</f>
        <v>63</v>
      </c>
      <c r="B63" t="str">
        <f>'List of countries'!B62</f>
        <v>HUN</v>
      </c>
      <c r="C63" t="str">
        <f>'List of countries'!C62</f>
        <v>Hungary</v>
      </c>
      <c r="D63" t="str">
        <f>'List of countries'!D62</f>
        <v>other</v>
      </c>
      <c r="E63">
        <f>'List of countries'!E62</f>
        <v>0</v>
      </c>
      <c r="F63" t="e">
        <f>-LN(VLOOKUP($B63,'Klenow - RC'!$B$2:$F$93,2,FALSE))</f>
        <v>#N/A</v>
      </c>
      <c r="G63" t="e">
        <f>LN(VLOOKUP($B63,'Klenow - RC'!$B$2:$F$93,5,FALSE))</f>
        <v>#N/A</v>
      </c>
      <c r="H63" t="e">
        <f t="shared" si="0"/>
        <v>#N/A</v>
      </c>
      <c r="I63">
        <f>-LN(VLOOKUP($B63,'Dev Acc 2000'!$D$4:$O$191,4,FALSE))+LN('Dev Acc 2000'!$G$150)</f>
        <v>1.104907473504749</v>
      </c>
      <c r="J63">
        <f t="shared" si="1"/>
        <v>-1.104907473504749</v>
      </c>
      <c r="K63">
        <f>LN(VLOOKUP($B63,'Dev Acc 2000'!$D$4:$O$191,11,FALSE))-LN('Dev Acc 2000'!$N$150)</f>
        <v>-1.1134700322487845</v>
      </c>
      <c r="L63">
        <f t="shared" si="2"/>
        <v>0.32841736268949939</v>
      </c>
      <c r="M63">
        <f>VLOOKUP(A63,'Country FEs'!$A$3:$H$173,3)-US_avg_adoption_lag</f>
        <v>15.300840000000008</v>
      </c>
      <c r="N63">
        <f t="shared" si="3"/>
        <v>-0.21421176000000011</v>
      </c>
      <c r="O63">
        <f t="shared" si="4"/>
        <v>0.80717743902906958</v>
      </c>
      <c r="P63">
        <f t="shared" si="5"/>
        <v>-0.3060168000000002</v>
      </c>
      <c r="Q63" t="e">
        <f t="shared" si="6"/>
        <v>#N/A</v>
      </c>
      <c r="R63">
        <f t="shared" si="7"/>
        <v>-0.44032576643970855</v>
      </c>
      <c r="S63">
        <f t="shared" si="8"/>
        <v>-0.54097988556528109</v>
      </c>
    </row>
    <row r="64" spans="1:19">
      <c r="A64">
        <f>'List of countries'!A63</f>
        <v>64</v>
      </c>
      <c r="B64" t="str">
        <f>'List of countries'!B63</f>
        <v>ICE</v>
      </c>
      <c r="C64" t="str">
        <f>'List of countries'!C63</f>
        <v>Iceland</v>
      </c>
      <c r="D64" t="str">
        <f>'List of countries'!D63</f>
        <v>OECD</v>
      </c>
      <c r="E64">
        <f>'List of countries'!E63</f>
        <v>0</v>
      </c>
      <c r="F64">
        <f>-LN(VLOOKUP($B64,'Klenow - RC'!$B$2:$F$93,2,FALSE))</f>
        <v>0.37106368139083207</v>
      </c>
      <c r="G64">
        <f>LN(VLOOKUP($B64,'Klenow - RC'!$B$2:$F$93,5,FALSE))</f>
        <v>-9.431067947124129E-2</v>
      </c>
      <c r="H64">
        <f t="shared" si="0"/>
        <v>0.91</v>
      </c>
      <c r="I64">
        <f>-LN(VLOOKUP($B64,'Dev Acc 2000'!$D$4:$O$191,4,FALSE))+LN('Dev Acc 2000'!$G$150)</f>
        <v>0.28685787180306122</v>
      </c>
      <c r="J64">
        <f t="shared" si="1"/>
        <v>-0.28685787180306122</v>
      </c>
      <c r="K64">
        <f>LN(VLOOKUP($B64,'Dev Acc 2000'!$D$4:$O$191,11,FALSE))-LN('Dev Acc 2000'!$N$150)</f>
        <v>-0.46975007205507424</v>
      </c>
      <c r="L64">
        <f t="shared" si="2"/>
        <v>0.62515849333687679</v>
      </c>
      <c r="M64" t="e">
        <f>VLOOKUP(A64,'Country FEs'!$A$3:$H$173,3)-US_avg_adoption_lag</f>
        <v>#N/A</v>
      </c>
      <c r="N64" t="e">
        <f t="shared" si="3"/>
        <v>#N/A</v>
      </c>
      <c r="O64" t="e">
        <f t="shared" si="4"/>
        <v>#N/A</v>
      </c>
      <c r="P64" t="e">
        <f t="shared" si="5"/>
        <v>#N/A</v>
      </c>
      <c r="Q64">
        <f t="shared" si="6"/>
        <v>-0.32749856381749104</v>
      </c>
      <c r="R64">
        <f t="shared" si="7"/>
        <v>-0.35830466537310396</v>
      </c>
      <c r="S64">
        <f t="shared" si="8"/>
        <v>-0.4145628195736682</v>
      </c>
    </row>
    <row r="65" spans="1:19">
      <c r="A65">
        <f>'List of countries'!A64</f>
        <v>65</v>
      </c>
      <c r="B65" t="str">
        <f>'List of countries'!B64</f>
        <v>IND</v>
      </c>
      <c r="C65" t="str">
        <f>'List of countries'!C64</f>
        <v>India</v>
      </c>
      <c r="D65" t="str">
        <f>'List of countries'!D64</f>
        <v>other</v>
      </c>
      <c r="E65">
        <f>'List of countries'!E64</f>
        <v>0</v>
      </c>
      <c r="F65">
        <f>-LN(VLOOKUP($B65,'Klenow - RC'!$B$2:$F$93,2,FALSE))</f>
        <v>2.5257286443082556</v>
      </c>
      <c r="G65">
        <f>LN(VLOOKUP($B65,'Klenow - RC'!$B$2:$F$93,5,FALSE))</f>
        <v>-1.6094379124341003</v>
      </c>
      <c r="H65">
        <f t="shared" si="0"/>
        <v>0.2</v>
      </c>
      <c r="I65">
        <f>-LN(VLOOKUP($B65,'Dev Acc 2000'!$D$4:$O$191,4,FALSE))+LN('Dev Acc 2000'!$G$150)</f>
        <v>2.5647876045735218</v>
      </c>
      <c r="J65">
        <f t="shared" si="1"/>
        <v>-2.5647876045735218</v>
      </c>
      <c r="K65">
        <f>LN(VLOOKUP($B65,'Dev Acc 2000'!$D$4:$O$191,11,FALSE))-LN('Dev Acc 2000'!$N$150)</f>
        <v>-1.497540783652493</v>
      </c>
      <c r="L65">
        <f t="shared" si="2"/>
        <v>0.22367956075648082</v>
      </c>
      <c r="M65">
        <f>VLOOKUP(A65,'Country FEs'!$A$3:$H$173,3)-US_avg_adoption_lag</f>
        <v>13.905299999999997</v>
      </c>
      <c r="N65">
        <f t="shared" si="3"/>
        <v>-0.19467419999999996</v>
      </c>
      <c r="O65">
        <f t="shared" si="4"/>
        <v>0.82310278126251168</v>
      </c>
      <c r="P65">
        <f t="shared" si="5"/>
        <v>-0.27810599999999996</v>
      </c>
      <c r="Q65">
        <f t="shared" si="6"/>
        <v>-0.55654083611227612</v>
      </c>
      <c r="R65">
        <f t="shared" si="7"/>
        <v>-0.48926304952182809</v>
      </c>
      <c r="S65">
        <f t="shared" si="8"/>
        <v>-0.76658205257967871</v>
      </c>
    </row>
    <row r="66" spans="1:19">
      <c r="A66">
        <f>'List of countries'!A65</f>
        <v>66</v>
      </c>
      <c r="B66" t="str">
        <f>'List of countries'!B65</f>
        <v>IDS</v>
      </c>
      <c r="C66" t="str">
        <f>'List of countries'!C65</f>
        <v>Indonesia</v>
      </c>
      <c r="D66" t="str">
        <f>'List of countries'!D65</f>
        <v>other</v>
      </c>
      <c r="E66">
        <f>'List of countries'!E65</f>
        <v>0</v>
      </c>
      <c r="F66">
        <f>-LN(VLOOKUP($B66,'Klenow - RC'!$B$2:$F$93,2,FALSE))</f>
        <v>2.0402208285265546</v>
      </c>
      <c r="G66">
        <f>LN(VLOOKUP($B66,'Klenow - RC'!$B$2:$F$93,5,FALSE))</f>
        <v>-1.1394342831883648</v>
      </c>
      <c r="H66">
        <f t="shared" si="0"/>
        <v>0.32</v>
      </c>
      <c r="I66">
        <f>-LN(VLOOKUP($B66,'Dev Acc 2000'!$D$4:$O$191,4,FALSE))+LN('Dev Acc 2000'!$G$150)</f>
        <v>2.2094555457841611</v>
      </c>
      <c r="J66">
        <f t="shared" si="1"/>
        <v>-2.2094555457841611</v>
      </c>
      <c r="K66">
        <f>LN(VLOOKUP($B66,'Dev Acc 2000'!$D$4:$O$191,11,FALSE))-LN('Dev Acc 2000'!$N$150)</f>
        <v>-1.4599351896701016</v>
      </c>
      <c r="L66">
        <f t="shared" si="2"/>
        <v>0.23225132652708913</v>
      </c>
      <c r="M66">
        <f>VLOOKUP(A66,'Country FEs'!$A$3:$H$173,3)-US_avg_adoption_lag</f>
        <v>27.723550000000003</v>
      </c>
      <c r="N66">
        <f t="shared" si="3"/>
        <v>-0.38812970000000008</v>
      </c>
      <c r="O66">
        <f t="shared" si="4"/>
        <v>0.6783243588890927</v>
      </c>
      <c r="P66">
        <f t="shared" si="5"/>
        <v>-0.55447100000000016</v>
      </c>
      <c r="Q66">
        <f t="shared" si="6"/>
        <v>-0.48549023594668739</v>
      </c>
      <c r="R66">
        <f t="shared" si="7"/>
        <v>-0.48447144383078933</v>
      </c>
      <c r="S66">
        <f t="shared" si="8"/>
        <v>-0.7116709124343028</v>
      </c>
    </row>
    <row r="67" spans="1:19">
      <c r="A67">
        <f>'List of countries'!A66</f>
        <v>67</v>
      </c>
      <c r="B67" t="str">
        <f>'List of countries'!B66</f>
        <v>IRN</v>
      </c>
      <c r="C67" t="str">
        <f>'List of countries'!C66</f>
        <v>Iran</v>
      </c>
      <c r="D67" t="str">
        <f>'List of countries'!D66</f>
        <v>other</v>
      </c>
      <c r="E67">
        <f>'List of countries'!E66</f>
        <v>0</v>
      </c>
      <c r="F67">
        <f>-LN(VLOOKUP($B67,'Klenow - RC'!$B$2:$F$93,2,FALSE))</f>
        <v>0.89159811928378363</v>
      </c>
      <c r="G67">
        <f>LN(VLOOKUP($B67,'Klenow - RC'!$B$2:$F$93,5,FALSE))</f>
        <v>-3.0459207484708574E-2</v>
      </c>
      <c r="H67">
        <f t="shared" si="0"/>
        <v>0.97</v>
      </c>
      <c r="I67">
        <f>-LN(VLOOKUP($B67,'Dev Acc 2000'!$D$4:$O$191,4,FALSE))+LN('Dev Acc 2000'!$G$150)</f>
        <v>1.7377055850194409</v>
      </c>
      <c r="J67">
        <f t="shared" si="1"/>
        <v>-1.7377055850194409</v>
      </c>
      <c r="K67">
        <f>LN(VLOOKUP($B67,'Dev Acc 2000'!$D$4:$O$191,11,FALSE))-LN('Dev Acc 2000'!$N$150)</f>
        <v>-1.0425644357107728</v>
      </c>
      <c r="L67">
        <f t="shared" si="2"/>
        <v>0.35254943137478978</v>
      </c>
      <c r="M67">
        <f>VLOOKUP(A67,'Country FEs'!$A$3:$H$173,3)-US_avg_adoption_lag</f>
        <v>54.637370000000004</v>
      </c>
      <c r="N67">
        <f t="shared" si="3"/>
        <v>-0.76492318000000004</v>
      </c>
      <c r="O67">
        <f t="shared" si="4"/>
        <v>0.46536967929996642</v>
      </c>
      <c r="P67">
        <f t="shared" si="5"/>
        <v>-1.0927474000000001</v>
      </c>
      <c r="Q67">
        <f t="shared" si="6"/>
        <v>-0.31784611621111841</v>
      </c>
      <c r="R67">
        <f t="shared" si="7"/>
        <v>-0.43129116217160091</v>
      </c>
      <c r="S67">
        <f t="shared" si="8"/>
        <v>-0.63876916442601772</v>
      </c>
    </row>
    <row r="68" spans="1:19">
      <c r="A68">
        <f>'List of countries'!A67</f>
        <v>68</v>
      </c>
      <c r="B68" t="str">
        <f>'List of countries'!B67</f>
        <v>IRQ</v>
      </c>
      <c r="C68" t="str">
        <f>'List of countries'!C67</f>
        <v>Iraq</v>
      </c>
      <c r="D68" t="str">
        <f>'List of countries'!D67</f>
        <v>other</v>
      </c>
      <c r="E68">
        <f>'List of countries'!E67</f>
        <v>0</v>
      </c>
      <c r="F68">
        <f>-LN(VLOOKUP($B68,'Klenow - RC'!$B$2:$F$93,2,FALSE))</f>
        <v>0.75502258427803282</v>
      </c>
      <c r="G68">
        <f>LN(VLOOKUP($B68,'Klenow - RC'!$B$2:$F$93,5,FALSE))</f>
        <v>0.23111172096338664</v>
      </c>
      <c r="H68">
        <f t="shared" ref="H68:H131" si="9">EXP(G68)</f>
        <v>1.26</v>
      </c>
      <c r="I68">
        <f>-LN(VLOOKUP($B68,'Dev Acc 2000'!$D$4:$O$191,4,FALSE))+LN('Dev Acc 2000'!$G$150)</f>
        <v>2.6428362721996663</v>
      </c>
      <c r="J68">
        <f t="shared" ref="J68:J131" si="10">-I68</f>
        <v>-2.6428362721996663</v>
      </c>
      <c r="K68">
        <f>LN(VLOOKUP($B68,'Dev Acc 2000'!$D$4:$O$191,11,FALSE))-LN('Dev Acc 2000'!$N$150)</f>
        <v>-0.74730447862777716</v>
      </c>
      <c r="L68">
        <f t="shared" ref="L68:L131" si="11">EXP(K68)</f>
        <v>0.47364154449121743</v>
      </c>
      <c r="M68">
        <f>VLOOKUP(A68,'Country FEs'!$A$3:$H$173,3)-US_avg_adoption_lag</f>
        <v>59.165500000000009</v>
      </c>
      <c r="N68">
        <f t="shared" ref="N68:N131" si="12">-$B$1*M68</f>
        <v>-0.82831700000000019</v>
      </c>
      <c r="O68">
        <f t="shared" ref="O68:O131" si="13">EXP(N68)</f>
        <v>0.43678377516941086</v>
      </c>
      <c r="P68">
        <f t="shared" ref="P68:P131" si="14">N68/0.7</f>
        <v>-1.1833100000000003</v>
      </c>
      <c r="Q68">
        <f t="shared" ref="Q68:Q131" si="15">G68*$L$171+$M$171</f>
        <v>-0.27830435462529324</v>
      </c>
      <c r="R68">
        <f t="shared" ref="R68:R131" si="16">$M$177+$L$177*K68</f>
        <v>-0.39366991647721838</v>
      </c>
      <c r="S68">
        <f t="shared" ref="S68:S131" si="17">$M$183+$L$183*J68</f>
        <v>-0.77864328156301577</v>
      </c>
    </row>
    <row r="69" spans="1:19">
      <c r="A69">
        <f>'List of countries'!A68</f>
        <v>69</v>
      </c>
      <c r="B69" t="str">
        <f>'List of countries'!B68</f>
        <v>IRE</v>
      </c>
      <c r="C69" t="str">
        <f>'List of countries'!C68</f>
        <v>Ireland</v>
      </c>
      <c r="D69" t="str">
        <f>'List of countries'!D68</f>
        <v>OECD</v>
      </c>
      <c r="E69">
        <f>'List of countries'!E68</f>
        <v>0</v>
      </c>
      <c r="F69">
        <f>-LN(VLOOKUP($B69,'Klenow - RC'!$B$2:$F$93,2,FALSE))</f>
        <v>0.56211891815354131</v>
      </c>
      <c r="G69">
        <f>LN(VLOOKUP($B69,'Klenow - RC'!$B$2:$F$93,5,FALSE))</f>
        <v>-0.2876820724517809</v>
      </c>
      <c r="H69">
        <f t="shared" si="9"/>
        <v>0.75</v>
      </c>
      <c r="I69">
        <f>-LN(VLOOKUP($B69,'Dev Acc 2000'!$D$4:$O$191,4,FALSE))+LN('Dev Acc 2000'!$G$150)</f>
        <v>0.32024827710488069</v>
      </c>
      <c r="J69">
        <f t="shared" si="10"/>
        <v>-0.32024827710488069</v>
      </c>
      <c r="K69">
        <f>LN(VLOOKUP($B69,'Dev Acc 2000'!$D$4:$O$191,11,FALSE))-LN('Dev Acc 2000'!$N$150)</f>
        <v>-1.289502465406045E-2</v>
      </c>
      <c r="L69">
        <f t="shared" si="11"/>
        <v>0.98718775995776942</v>
      </c>
      <c r="M69">
        <f>VLOOKUP(A69,'Country FEs'!$A$3:$H$173,3)-US_avg_adoption_lag</f>
        <v>27.214250000000007</v>
      </c>
      <c r="N69">
        <f t="shared" si="12"/>
        <v>-0.3809995000000001</v>
      </c>
      <c r="O69">
        <f t="shared" si="13"/>
        <v>0.68317823120892984</v>
      </c>
      <c r="P69">
        <f t="shared" si="14"/>
        <v>-0.54428500000000013</v>
      </c>
      <c r="Q69">
        <f t="shared" si="15"/>
        <v>-0.35673057963867083</v>
      </c>
      <c r="R69">
        <f t="shared" si="16"/>
        <v>-0.30009339908831939</v>
      </c>
      <c r="S69">
        <f t="shared" si="17"/>
        <v>-0.41972279650140726</v>
      </c>
    </row>
    <row r="70" spans="1:19">
      <c r="A70">
        <f>'List of countries'!A69</f>
        <v>70</v>
      </c>
      <c r="B70" t="str">
        <f>'List of countries'!B69</f>
        <v>ISR</v>
      </c>
      <c r="C70" t="str">
        <f>'List of countries'!C69</f>
        <v>Israel</v>
      </c>
      <c r="D70" t="str">
        <f>'List of countries'!D69</f>
        <v>other</v>
      </c>
      <c r="E70">
        <f>'List of countries'!E69</f>
        <v>0</v>
      </c>
      <c r="F70">
        <f>-LN(VLOOKUP($B70,'Klenow - RC'!$B$2:$F$93,2,FALSE))</f>
        <v>0.43078291609245423</v>
      </c>
      <c r="G70">
        <f>LN(VLOOKUP($B70,'Klenow - RC'!$B$2:$F$93,5,FALSE))</f>
        <v>-0.1743533871447778</v>
      </c>
      <c r="H70">
        <f t="shared" si="9"/>
        <v>0.84</v>
      </c>
      <c r="I70">
        <f>-LN(VLOOKUP($B70,'Dev Acc 2000'!$D$4:$O$191,4,FALSE))+LN('Dev Acc 2000'!$G$150)</f>
        <v>0.43527099362842847</v>
      </c>
      <c r="J70">
        <f t="shared" si="10"/>
        <v>-0.43527099362842847</v>
      </c>
      <c r="K70">
        <f>LN(VLOOKUP($B70,'Dev Acc 2000'!$D$4:$O$191,11,FALSE))-LN('Dev Acc 2000'!$N$150)</f>
        <v>-0.27906250955294887</v>
      </c>
      <c r="L70">
        <f t="shared" si="11"/>
        <v>0.75649261372194732</v>
      </c>
      <c r="M70">
        <f>VLOOKUP(A70,'Country FEs'!$A$3:$H$173,3)-US_avg_adoption_lag</f>
        <v>43.649280000000005</v>
      </c>
      <c r="N70">
        <f t="shared" si="12"/>
        <v>-0.61108992000000006</v>
      </c>
      <c r="O70">
        <f t="shared" si="13"/>
        <v>0.54275898270826528</v>
      </c>
      <c r="P70">
        <f t="shared" si="14"/>
        <v>-0.87298560000000014</v>
      </c>
      <c r="Q70">
        <f t="shared" si="15"/>
        <v>-0.33959864574283743</v>
      </c>
      <c r="R70">
        <f t="shared" si="16"/>
        <v>-0.33400775863834192</v>
      </c>
      <c r="S70">
        <f t="shared" si="17"/>
        <v>-0.43749779977143444</v>
      </c>
    </row>
    <row r="71" spans="1:19">
      <c r="A71">
        <f>'List of countries'!A70</f>
        <v>71</v>
      </c>
      <c r="B71" t="str">
        <f>'List of countries'!B70</f>
        <v>ITA</v>
      </c>
      <c r="C71" t="str">
        <f>'List of countries'!C70</f>
        <v>Italy</v>
      </c>
      <c r="D71" t="str">
        <f>'List of countries'!D70</f>
        <v>OECD</v>
      </c>
      <c r="E71">
        <f>'List of countries'!E70</f>
        <v>0</v>
      </c>
      <c r="F71">
        <f>-LN(VLOOKUP($B71,'Klenow - RC'!$B$2:$F$93,2,FALSE))</f>
        <v>0.22314355131420971</v>
      </c>
      <c r="G71">
        <f>LN(VLOOKUP($B71,'Klenow - RC'!$B$2:$F$93,5,FALSE))</f>
        <v>3.9220713153281329E-2</v>
      </c>
      <c r="H71">
        <f t="shared" si="9"/>
        <v>1.04</v>
      </c>
      <c r="I71">
        <f>-LN(VLOOKUP($B71,'Dev Acc 2000'!$D$4:$O$191,4,FALSE))+LN('Dev Acc 2000'!$G$150)</f>
        <v>0.42407725938607044</v>
      </c>
      <c r="J71">
        <f t="shared" si="10"/>
        <v>-0.42407725938607044</v>
      </c>
      <c r="K71">
        <f>LN(VLOOKUP($B71,'Dev Acc 2000'!$D$4:$O$191,11,FALSE))-LN('Dev Acc 2000'!$N$150)</f>
        <v>-0.27352184906081689</v>
      </c>
      <c r="L71">
        <f t="shared" si="11"/>
        <v>0.76069571568733663</v>
      </c>
      <c r="M71">
        <f>VLOOKUP(A71,'Country FEs'!$A$3:$H$173,3)-US_avg_adoption_lag</f>
        <v>7.423560000000009</v>
      </c>
      <c r="N71">
        <f t="shared" si="12"/>
        <v>-0.10392984000000013</v>
      </c>
      <c r="O71">
        <f t="shared" si="13"/>
        <v>0.90128852960623085</v>
      </c>
      <c r="P71">
        <f t="shared" si="14"/>
        <v>-0.14847120000000019</v>
      </c>
      <c r="Q71">
        <f t="shared" si="15"/>
        <v>-0.3073125801429718</v>
      </c>
      <c r="R71">
        <f t="shared" si="16"/>
        <v>-0.33330178227858426</v>
      </c>
      <c r="S71">
        <f t="shared" si="17"/>
        <v>-0.43576797918663718</v>
      </c>
    </row>
    <row r="72" spans="1:19">
      <c r="A72">
        <f>'List of countries'!A71</f>
        <v>72</v>
      </c>
      <c r="B72" t="str">
        <f>'List of countries'!B71</f>
        <v>IVO</v>
      </c>
      <c r="C72" t="str">
        <f>'List of countries'!C71</f>
        <v>Ivory Coast</v>
      </c>
      <c r="D72" t="str">
        <f>'List of countries'!D71</f>
        <v>SubSaharan</v>
      </c>
      <c r="E72">
        <f>'List of countries'!E71</f>
        <v>0</v>
      </c>
      <c r="F72" t="e">
        <f>-LN(VLOOKUP($B72,'Klenow - RC'!$B$2:$F$93,2,FALSE))</f>
        <v>#N/A</v>
      </c>
      <c r="G72" t="e">
        <f>LN(VLOOKUP($B72,'Klenow - RC'!$B$2:$F$93,5,FALSE))</f>
        <v>#N/A</v>
      </c>
      <c r="H72" t="e">
        <f t="shared" si="9"/>
        <v>#N/A</v>
      </c>
      <c r="I72">
        <f>-LN(VLOOKUP($B72,'Dev Acc 2000'!$D$4:$O$191,4,FALSE))+LN('Dev Acc 2000'!$G$150)</f>
        <v>2.7615328136143908</v>
      </c>
      <c r="J72">
        <f t="shared" si="10"/>
        <v>-2.7615328136143908</v>
      </c>
      <c r="K72">
        <f>LN(VLOOKUP($B72,'Dev Acc 2000'!$D$4:$O$191,11,FALSE))-LN('Dev Acc 2000'!$N$150)</f>
        <v>-1.4627386164641454</v>
      </c>
      <c r="L72">
        <f t="shared" si="11"/>
        <v>0.23160113873811497</v>
      </c>
      <c r="M72" t="e">
        <f>VLOOKUP(A72,'Country FEs'!$A$3:$H$173,3)-US_avg_adoption_lag</f>
        <v>#N/A</v>
      </c>
      <c r="N72" t="e">
        <f t="shared" si="12"/>
        <v>#N/A</v>
      </c>
      <c r="O72" t="e">
        <f t="shared" si="13"/>
        <v>#N/A</v>
      </c>
      <c r="P72" t="e">
        <f t="shared" si="14"/>
        <v>#N/A</v>
      </c>
      <c r="Q72" t="e">
        <f t="shared" si="15"/>
        <v>#N/A</v>
      </c>
      <c r="R72">
        <f t="shared" si="16"/>
        <v>-0.48482864908559903</v>
      </c>
      <c r="S72">
        <f t="shared" si="17"/>
        <v>-0.79698601833324079</v>
      </c>
    </row>
    <row r="73" spans="1:19">
      <c r="A73">
        <f>'List of countries'!A72</f>
        <v>73</v>
      </c>
      <c r="B73" t="str">
        <f>'List of countries'!B72</f>
        <v>JAP</v>
      </c>
      <c r="C73" t="str">
        <f>'List of countries'!C72</f>
        <v>Japan</v>
      </c>
      <c r="D73" t="str">
        <f>'List of countries'!D72</f>
        <v>OECD</v>
      </c>
      <c r="E73">
        <f>'List of countries'!E72</f>
        <v>0</v>
      </c>
      <c r="F73">
        <f>-LN(VLOOKUP($B73,'Klenow - RC'!$B$2:$F$93,2,FALSE))</f>
        <v>0.57981849525294205</v>
      </c>
      <c r="G73">
        <f>LN(VLOOKUP($B73,'Klenow - RC'!$B$2:$F$93,5,FALSE))</f>
        <v>-0.46203545959655867</v>
      </c>
      <c r="H73">
        <f t="shared" si="9"/>
        <v>0.63</v>
      </c>
      <c r="I73">
        <f>-LN(VLOOKUP($B73,'Dev Acc 2000'!$D$4:$O$191,4,FALSE))+LN('Dev Acc 2000'!$G$150)</f>
        <v>0.36019754463691811</v>
      </c>
      <c r="J73">
        <f t="shared" si="10"/>
        <v>-0.36019754463691811</v>
      </c>
      <c r="K73">
        <f>LN(VLOOKUP($B73,'Dev Acc 2000'!$D$4:$O$191,11,FALSE))-LN('Dev Acc 2000'!$N$150)</f>
        <v>-0.65776344290894784</v>
      </c>
      <c r="L73">
        <f t="shared" si="11"/>
        <v>0.51800859566681701</v>
      </c>
      <c r="M73">
        <f>VLOOKUP(A73,'Country FEs'!$A$3:$H$173,3)-US_avg_adoption_lag</f>
        <v>12.176150000000007</v>
      </c>
      <c r="N73">
        <f t="shared" si="12"/>
        <v>-0.17046610000000009</v>
      </c>
      <c r="O73">
        <f t="shared" si="13"/>
        <v>0.84327167605388886</v>
      </c>
      <c r="P73">
        <f t="shared" si="14"/>
        <v>-0.24352300000000016</v>
      </c>
      <c r="Q73">
        <f t="shared" si="15"/>
        <v>-0.38308763738611823</v>
      </c>
      <c r="R73">
        <f t="shared" si="16"/>
        <v>-0.38226083365478658</v>
      </c>
      <c r="S73">
        <f t="shared" si="17"/>
        <v>-0.42589634536618109</v>
      </c>
    </row>
    <row r="74" spans="1:19">
      <c r="A74">
        <f>'List of countries'!A73</f>
        <v>74</v>
      </c>
      <c r="B74" t="str">
        <f>'List of countries'!B73</f>
        <v>JOR</v>
      </c>
      <c r="C74" t="str">
        <f>'List of countries'!C73</f>
        <v>Jordan</v>
      </c>
      <c r="D74" t="str">
        <f>'List of countries'!D73</f>
        <v>other</v>
      </c>
      <c r="E74">
        <f>'List of countries'!E73</f>
        <v>0</v>
      </c>
      <c r="F74">
        <f>-LN(VLOOKUP($B74,'Klenow - RC'!$B$2:$F$93,2,FALSE))</f>
        <v>0.77652878949899629</v>
      </c>
      <c r="G74">
        <f>LN(VLOOKUP($B74,'Klenow - RC'!$B$2:$F$93,5,FALSE))</f>
        <v>0.3293037471426003</v>
      </c>
      <c r="H74">
        <f t="shared" si="9"/>
        <v>1.39</v>
      </c>
      <c r="I74">
        <f>-LN(VLOOKUP($B74,'Dev Acc 2000'!$D$4:$O$191,4,FALSE))+LN('Dev Acc 2000'!$G$150)</f>
        <v>2.1755766196022499</v>
      </c>
      <c r="J74">
        <f t="shared" si="10"/>
        <v>-2.1755766196022499</v>
      </c>
      <c r="K74">
        <f>LN(VLOOKUP($B74,'Dev Acc 2000'!$D$4:$O$191,11,FALSE))-LN('Dev Acc 2000'!$N$150)</f>
        <v>-1.3274164807167761</v>
      </c>
      <c r="L74">
        <f t="shared" si="11"/>
        <v>0.26516142680120658</v>
      </c>
      <c r="M74">
        <f>VLOOKUP(A74,'Country FEs'!$A$3:$H$173,3)-US_avg_adoption_lag</f>
        <v>38.515420000000006</v>
      </c>
      <c r="N74">
        <f t="shared" si="12"/>
        <v>-0.53921588000000009</v>
      </c>
      <c r="O74">
        <f t="shared" si="13"/>
        <v>0.58320537613015933</v>
      </c>
      <c r="P74">
        <f t="shared" si="14"/>
        <v>-0.77030840000000023</v>
      </c>
      <c r="Q74">
        <f t="shared" si="15"/>
        <v>-0.2634606343699743</v>
      </c>
      <c r="R74">
        <f t="shared" si="16"/>
        <v>-0.46758625913493829</v>
      </c>
      <c r="S74">
        <f t="shared" si="17"/>
        <v>-0.70643544206923625</v>
      </c>
    </row>
    <row r="75" spans="1:19">
      <c r="A75">
        <f>'List of countries'!A74</f>
        <v>75</v>
      </c>
      <c r="B75" t="str">
        <f>'List of countries'!B74</f>
        <v>KAZ</v>
      </c>
      <c r="C75" t="str">
        <f>'List of countries'!C74</f>
        <v>Kazakhstan</v>
      </c>
      <c r="D75" t="str">
        <f>'List of countries'!D74</f>
        <v>other</v>
      </c>
      <c r="E75">
        <f>'List of countries'!E74</f>
        <v>0</v>
      </c>
      <c r="F75" t="e">
        <f>-LN(VLOOKUP($B75,'Klenow - RC'!$B$2:$F$93,2,FALSE))</f>
        <v>#N/A</v>
      </c>
      <c r="G75" t="e">
        <f>LN(VLOOKUP($B75,'Klenow - RC'!$B$2:$F$93,5,FALSE))</f>
        <v>#N/A</v>
      </c>
      <c r="H75" t="e">
        <f t="shared" si="9"/>
        <v>#N/A</v>
      </c>
      <c r="I75">
        <f>-LN(VLOOKUP($B75,'Dev Acc 2000'!$D$4:$O$191,4,FALSE))+LN('Dev Acc 2000'!$G$150)</f>
        <v>1.6622178419956395</v>
      </c>
      <c r="J75">
        <f t="shared" si="10"/>
        <v>-1.6622178419956395</v>
      </c>
      <c r="K75" t="e">
        <f>LN(VLOOKUP($B75,'Dev Acc 2000'!$D$4:$O$191,11,FALSE))-LN('Dev Acc 2000'!$N$150)</f>
        <v>#N/A</v>
      </c>
      <c r="L75" t="e">
        <f t="shared" si="11"/>
        <v>#N/A</v>
      </c>
      <c r="M75" t="e">
        <f>VLOOKUP(A75,'Country FEs'!$A$3:$H$173,3)-US_avg_adoption_lag</f>
        <v>#N/A</v>
      </c>
      <c r="N75" t="e">
        <f t="shared" si="12"/>
        <v>#N/A</v>
      </c>
      <c r="O75" t="e">
        <f t="shared" si="13"/>
        <v>#N/A</v>
      </c>
      <c r="P75" t="e">
        <f t="shared" si="14"/>
        <v>#N/A</v>
      </c>
      <c r="Q75" t="e">
        <f t="shared" si="15"/>
        <v>#N/A</v>
      </c>
      <c r="R75" t="e">
        <f t="shared" si="16"/>
        <v>#N/A</v>
      </c>
      <c r="S75">
        <f t="shared" si="17"/>
        <v>-0.62710368720856435</v>
      </c>
    </row>
    <row r="76" spans="1:19">
      <c r="A76">
        <f>'List of countries'!A75</f>
        <v>76</v>
      </c>
      <c r="B76" t="str">
        <f>'List of countries'!B75</f>
        <v>KEN</v>
      </c>
      <c r="C76" t="str">
        <f>'List of countries'!C75</f>
        <v>Kenya</v>
      </c>
      <c r="D76" t="str">
        <f>'List of countries'!D75</f>
        <v>SubSaharan</v>
      </c>
      <c r="E76">
        <f>'List of countries'!E75</f>
        <v>0</v>
      </c>
      <c r="F76">
        <f>-LN(VLOOKUP($B76,'Klenow - RC'!$B$2:$F$93,2,FALSE))</f>
        <v>2.8134107167600364</v>
      </c>
      <c r="G76">
        <f>LN(VLOOKUP($B76,'Klenow - RC'!$B$2:$F$93,5,FALSE))</f>
        <v>-1.8971199848858813</v>
      </c>
      <c r="H76">
        <f t="shared" si="9"/>
        <v>0.15</v>
      </c>
      <c r="I76">
        <f>-LN(VLOOKUP($B76,'Dev Acc 2000'!$D$4:$O$191,4,FALSE))+LN('Dev Acc 2000'!$G$150)</f>
        <v>3.2998071591999434</v>
      </c>
      <c r="J76">
        <f t="shared" si="10"/>
        <v>-3.2998071591999434</v>
      </c>
      <c r="K76">
        <f>LN(VLOOKUP($B76,'Dev Acc 2000'!$D$4:$O$191,11,FALSE))-LN('Dev Acc 2000'!$N$150)</f>
        <v>-2.3930013778050983</v>
      </c>
      <c r="L76">
        <f t="shared" si="11"/>
        <v>9.1355080877842373E-2</v>
      </c>
      <c r="M76">
        <f>VLOOKUP(A76,'Country FEs'!$A$3:$H$173,3)-US_avg_adoption_lag</f>
        <v>27.412060000000004</v>
      </c>
      <c r="N76">
        <f t="shared" si="12"/>
        <v>-0.38376884000000006</v>
      </c>
      <c r="O76">
        <f t="shared" si="13"/>
        <v>0.68128889571976659</v>
      </c>
      <c r="P76">
        <f t="shared" si="14"/>
        <v>-0.5482412000000001</v>
      </c>
      <c r="Q76">
        <f t="shared" si="15"/>
        <v>-0.60002982775555691</v>
      </c>
      <c r="R76">
        <f t="shared" si="16"/>
        <v>-0.60336027880775989</v>
      </c>
      <c r="S76">
        <f t="shared" si="17"/>
        <v>-0.88016809351050529</v>
      </c>
    </row>
    <row r="77" spans="1:19">
      <c r="A77">
        <f>'List of countries'!A76</f>
        <v>77</v>
      </c>
      <c r="B77" t="str">
        <f>'List of countries'!B76</f>
        <v>KOR</v>
      </c>
      <c r="C77" t="str">
        <f>'List of countries'!C76</f>
        <v>Korea</v>
      </c>
      <c r="D77" t="str">
        <f>'List of countries'!D76</f>
        <v>other</v>
      </c>
      <c r="E77">
        <f>'List of countries'!E76</f>
        <v>0</v>
      </c>
      <c r="F77" t="e">
        <f>-LN(VLOOKUP($B77,'Klenow - RC'!$B$2:$F$93,2,FALSE))</f>
        <v>#N/A</v>
      </c>
      <c r="G77" t="e">
        <f>LN(VLOOKUP($B77,'Klenow - RC'!$B$2:$F$93,5,FALSE))</f>
        <v>#N/A</v>
      </c>
      <c r="H77" t="e">
        <f t="shared" si="9"/>
        <v>#N/A</v>
      </c>
      <c r="I77" t="e">
        <f>-LN(VLOOKUP($B77,'Dev Acc 2000'!$D$4:$O$191,4,FALSE))+LN('Dev Acc 2000'!$G$150)</f>
        <v>#N/A</v>
      </c>
      <c r="J77" t="e">
        <f t="shared" si="10"/>
        <v>#N/A</v>
      </c>
      <c r="K77" t="e">
        <f>LN(VLOOKUP($B77,'Dev Acc 2000'!$D$4:$O$191,11,FALSE))-LN('Dev Acc 2000'!$N$150)</f>
        <v>#N/A</v>
      </c>
      <c r="L77" t="e">
        <f t="shared" si="11"/>
        <v>#N/A</v>
      </c>
      <c r="M77" t="e">
        <f>VLOOKUP(A77,'Country FEs'!$A$3:$H$173,3)-US_avg_adoption_lag</f>
        <v>#N/A</v>
      </c>
      <c r="N77" t="e">
        <f t="shared" si="12"/>
        <v>#N/A</v>
      </c>
      <c r="O77" t="e">
        <f t="shared" si="13"/>
        <v>#N/A</v>
      </c>
      <c r="P77" t="e">
        <f t="shared" si="14"/>
        <v>#N/A</v>
      </c>
      <c r="Q77" t="e">
        <f t="shared" si="15"/>
        <v>#N/A</v>
      </c>
      <c r="R77" t="e">
        <f t="shared" si="16"/>
        <v>#N/A</v>
      </c>
      <c r="S77" t="e">
        <f t="shared" si="17"/>
        <v>#N/A</v>
      </c>
    </row>
    <row r="78" spans="1:19">
      <c r="A78">
        <f>'List of countries'!A77</f>
        <v>78</v>
      </c>
      <c r="B78" t="str">
        <f>'List of countries'!B77</f>
        <v>KRN</v>
      </c>
      <c r="C78" t="str">
        <f>'List of countries'!C77</f>
        <v>North Korea</v>
      </c>
      <c r="D78" t="str">
        <f>'List of countries'!D77</f>
        <v>other</v>
      </c>
      <c r="E78">
        <f>'List of countries'!E77</f>
        <v>0</v>
      </c>
      <c r="F78" t="e">
        <f>-LN(VLOOKUP($B78,'Klenow - RC'!$B$2:$F$93,2,FALSE))</f>
        <v>#N/A</v>
      </c>
      <c r="G78" t="e">
        <f>LN(VLOOKUP($B78,'Klenow - RC'!$B$2:$F$93,5,FALSE))</f>
        <v>#N/A</v>
      </c>
      <c r="H78" t="e">
        <f t="shared" si="9"/>
        <v>#N/A</v>
      </c>
      <c r="I78">
        <f>-LN(VLOOKUP($B78,'Dev Acc 2000'!$D$4:$O$191,4,FALSE))+LN('Dev Acc 2000'!$G$150)</f>
        <v>3.215699752491556</v>
      </c>
      <c r="J78">
        <f t="shared" si="10"/>
        <v>-3.215699752491556</v>
      </c>
      <c r="K78" t="e">
        <f>LN(VLOOKUP($B78,'Dev Acc 2000'!$D$4:$O$191,11,FALSE))-LN('Dev Acc 2000'!$N$150)</f>
        <v>#N/A</v>
      </c>
      <c r="L78" t="e">
        <f t="shared" si="11"/>
        <v>#N/A</v>
      </c>
      <c r="M78">
        <f>VLOOKUP(A78,'Country FEs'!$A$3:$H$173,3)-US_avg_adoption_lag</f>
        <v>50.241230000000002</v>
      </c>
      <c r="N78">
        <f t="shared" si="12"/>
        <v>-0.70337722000000003</v>
      </c>
      <c r="O78">
        <f t="shared" si="13"/>
        <v>0.4949110547167887</v>
      </c>
      <c r="P78">
        <f t="shared" si="14"/>
        <v>-1.0048246000000001</v>
      </c>
      <c r="Q78" t="e">
        <f t="shared" si="15"/>
        <v>#N/A</v>
      </c>
      <c r="R78" t="e">
        <f t="shared" si="16"/>
        <v>#N/A</v>
      </c>
      <c r="S78">
        <f t="shared" si="17"/>
        <v>-0.8671705789806774</v>
      </c>
    </row>
    <row r="79" spans="1:19">
      <c r="A79">
        <f>'List of countries'!A78</f>
        <v>79</v>
      </c>
      <c r="B79" t="str">
        <f>'List of countries'!B78</f>
        <v>KRS</v>
      </c>
      <c r="C79" t="str">
        <f>'List of countries'!C78</f>
        <v>South Korea</v>
      </c>
      <c r="D79" t="str">
        <f>'List of countries'!D78</f>
        <v>Tigers</v>
      </c>
      <c r="E79">
        <f>'List of countries'!E78</f>
        <v>0</v>
      </c>
      <c r="F79">
        <f>-LN(VLOOKUP($B79,'Klenow - RC'!$B$2:$F$93,2,FALSE))</f>
        <v>1.1711829815029451</v>
      </c>
      <c r="G79">
        <f>LN(VLOOKUP($B79,'Klenow - RC'!$B$2:$F$93,5,FALSE))</f>
        <v>-0.61618613942381695</v>
      </c>
      <c r="H79">
        <f t="shared" si="9"/>
        <v>0.54</v>
      </c>
      <c r="I79">
        <f>-LN(VLOOKUP($B79,'Dev Acc 2000'!$D$4:$O$191,4,FALSE))+LN('Dev Acc 2000'!$G$150)</f>
        <v>0.78321878074021001</v>
      </c>
      <c r="J79">
        <f t="shared" si="10"/>
        <v>-0.78321878074021001</v>
      </c>
      <c r="K79">
        <f>LN(VLOOKUP($B79,'Dev Acc 2000'!$D$4:$O$191,11,FALSE))-LN('Dev Acc 2000'!$N$150)</f>
        <v>-0.8903847022177569</v>
      </c>
      <c r="L79">
        <f t="shared" si="11"/>
        <v>0.41049780295729327</v>
      </c>
      <c r="M79">
        <f>VLOOKUP(A79,'Country FEs'!$A$3:$H$173,3)-US_avg_adoption_lag</f>
        <v>47.598450000000007</v>
      </c>
      <c r="N79">
        <f t="shared" si="12"/>
        <v>-0.66637830000000009</v>
      </c>
      <c r="O79">
        <f t="shared" si="13"/>
        <v>0.51356519276455515</v>
      </c>
      <c r="P79">
        <f t="shared" si="14"/>
        <v>-0.95196900000000018</v>
      </c>
      <c r="Q79">
        <f t="shared" si="15"/>
        <v>-0.40639064535487979</v>
      </c>
      <c r="R79">
        <f t="shared" si="16"/>
        <v>-0.41190082153750984</v>
      </c>
      <c r="S79">
        <f t="shared" si="17"/>
        <v>-0.49126781356209698</v>
      </c>
    </row>
    <row r="80" spans="1:19">
      <c r="A80">
        <f>'List of countries'!A79</f>
        <v>80</v>
      </c>
      <c r="B80" t="str">
        <f>'List of countries'!B79</f>
        <v>KUW</v>
      </c>
      <c r="C80" t="str">
        <f>'List of countries'!C79</f>
        <v>Kuwait</v>
      </c>
      <c r="D80" t="str">
        <f>'List of countries'!D79</f>
        <v>other</v>
      </c>
      <c r="E80">
        <f>'List of countries'!E79</f>
        <v>0</v>
      </c>
      <c r="F80" t="e">
        <f>-LN(VLOOKUP($B80,'Klenow - RC'!$B$2:$F$93,2,FALSE))</f>
        <v>#N/A</v>
      </c>
      <c r="G80" t="e">
        <f>LN(VLOOKUP($B80,'Klenow - RC'!$B$2:$F$93,5,FALSE))</f>
        <v>#N/A</v>
      </c>
      <c r="H80" t="e">
        <f t="shared" si="9"/>
        <v>#N/A</v>
      </c>
      <c r="I80">
        <f>-LN(VLOOKUP($B80,'Dev Acc 2000'!$D$4:$O$191,4,FALSE))+LN('Dev Acc 2000'!$G$150)</f>
        <v>0.31274807607979938</v>
      </c>
      <c r="J80">
        <f t="shared" si="10"/>
        <v>-0.31274807607979938</v>
      </c>
      <c r="K80">
        <f>LN(VLOOKUP($B80,'Dev Acc 2000'!$D$4:$O$191,11,FALSE))-LN('Dev Acc 2000'!$N$150)</f>
        <v>0.29632243759067656</v>
      </c>
      <c r="L80">
        <f t="shared" si="11"/>
        <v>1.3449037344472625</v>
      </c>
      <c r="M80">
        <f>VLOOKUP(A80,'Country FEs'!$A$3:$H$173,3)-US_avg_adoption_lag</f>
        <v>32.775590000000001</v>
      </c>
      <c r="N80">
        <f t="shared" si="12"/>
        <v>-0.45885826000000002</v>
      </c>
      <c r="O80">
        <f t="shared" si="13"/>
        <v>0.63200481891426841</v>
      </c>
      <c r="P80">
        <f t="shared" si="14"/>
        <v>-0.65551180000000009</v>
      </c>
      <c r="Q80" t="e">
        <f t="shared" si="15"/>
        <v>#N/A</v>
      </c>
      <c r="R80">
        <f t="shared" si="16"/>
        <v>-0.26069372486553716</v>
      </c>
      <c r="S80">
        <f t="shared" si="17"/>
        <v>-0.41856375503745963</v>
      </c>
    </row>
    <row r="81" spans="1:19">
      <c r="A81">
        <f>'List of countries'!A80</f>
        <v>81</v>
      </c>
      <c r="B81" t="str">
        <f>'List of countries'!B80</f>
        <v>KYR</v>
      </c>
      <c r="C81" t="str">
        <f>'List of countries'!C80</f>
        <v>Kyrgyzstan</v>
      </c>
      <c r="D81" t="str">
        <f>'List of countries'!D80</f>
        <v>other</v>
      </c>
      <c r="E81">
        <f>'List of countries'!E80</f>
        <v>0</v>
      </c>
      <c r="F81" t="e">
        <f>-LN(VLOOKUP($B81,'Klenow - RC'!$B$2:$F$93,2,FALSE))</f>
        <v>#N/A</v>
      </c>
      <c r="G81" t="e">
        <f>LN(VLOOKUP($B81,'Klenow - RC'!$B$2:$F$93,5,FALSE))</f>
        <v>#N/A</v>
      </c>
      <c r="H81" t="e">
        <f t="shared" si="9"/>
        <v>#N/A</v>
      </c>
      <c r="I81">
        <f>-LN(VLOOKUP($B81,'Dev Acc 2000'!$D$4:$O$191,4,FALSE))+LN('Dev Acc 2000'!$G$150)</f>
        <v>2.3164070782405268</v>
      </c>
      <c r="J81">
        <f t="shared" si="10"/>
        <v>-2.3164070782405268</v>
      </c>
      <c r="K81" t="e">
        <f>LN(VLOOKUP($B81,'Dev Acc 2000'!$D$4:$O$191,11,FALSE))-LN('Dev Acc 2000'!$N$150)</f>
        <v>#N/A</v>
      </c>
      <c r="L81" t="e">
        <f t="shared" si="11"/>
        <v>#N/A</v>
      </c>
      <c r="M81" t="e">
        <f>VLOOKUP(A81,'Country FEs'!$A$3:$H$173,3)-US_avg_adoption_lag</f>
        <v>#N/A</v>
      </c>
      <c r="N81" t="e">
        <f t="shared" si="12"/>
        <v>#N/A</v>
      </c>
      <c r="O81" t="e">
        <f t="shared" si="13"/>
        <v>#N/A</v>
      </c>
      <c r="P81" t="e">
        <f t="shared" si="14"/>
        <v>#N/A</v>
      </c>
      <c r="Q81" t="e">
        <f t="shared" si="15"/>
        <v>#N/A</v>
      </c>
      <c r="R81" t="e">
        <f t="shared" si="16"/>
        <v>#N/A</v>
      </c>
      <c r="S81">
        <f t="shared" si="17"/>
        <v>-0.72819863753595371</v>
      </c>
    </row>
    <row r="82" spans="1:19">
      <c r="A82">
        <f>'List of countries'!A81</f>
        <v>82</v>
      </c>
      <c r="B82" t="str">
        <f>'List of countries'!B81</f>
        <v>LAO</v>
      </c>
      <c r="C82" t="str">
        <f>'List of countries'!C81</f>
        <v>Laos</v>
      </c>
      <c r="D82" t="str">
        <f>'List of countries'!D81</f>
        <v>other</v>
      </c>
      <c r="E82">
        <f>'List of countries'!E81</f>
        <v>0</v>
      </c>
      <c r="F82" t="e">
        <f>-LN(VLOOKUP($B82,'Klenow - RC'!$B$2:$F$93,2,FALSE))</f>
        <v>#N/A</v>
      </c>
      <c r="G82" t="e">
        <f>LN(VLOOKUP($B82,'Klenow - RC'!$B$2:$F$93,5,FALSE))</f>
        <v>#N/A</v>
      </c>
      <c r="H82" t="e">
        <f t="shared" si="9"/>
        <v>#N/A</v>
      </c>
      <c r="I82">
        <f>-LN(VLOOKUP($B82,'Dev Acc 2000'!$D$4:$O$191,4,FALSE))+LN('Dev Acc 2000'!$G$150)</f>
        <v>3.3080197759560397</v>
      </c>
      <c r="J82">
        <f t="shared" si="10"/>
        <v>-3.3080197759560397</v>
      </c>
      <c r="K82" t="e">
        <f>LN(VLOOKUP($B82,'Dev Acc 2000'!$D$4:$O$191,11,FALSE))-LN('Dev Acc 2000'!$N$150)</f>
        <v>#N/A</v>
      </c>
      <c r="L82" t="e">
        <f t="shared" si="11"/>
        <v>#N/A</v>
      </c>
      <c r="M82">
        <f>VLOOKUP(A82,'Country FEs'!$A$3:$H$173,3)-US_avg_adoption_lag</f>
        <v>40.716340000000002</v>
      </c>
      <c r="N82">
        <f t="shared" si="12"/>
        <v>-0.57002876000000002</v>
      </c>
      <c r="O82">
        <f t="shared" si="13"/>
        <v>0.56550917442180149</v>
      </c>
      <c r="P82">
        <f t="shared" si="14"/>
        <v>-0.81432680000000013</v>
      </c>
      <c r="Q82" t="e">
        <f t="shared" si="15"/>
        <v>#N/A</v>
      </c>
      <c r="R82" t="e">
        <f t="shared" si="16"/>
        <v>#N/A</v>
      </c>
      <c r="S82">
        <f t="shared" si="17"/>
        <v>-0.88143722793983514</v>
      </c>
    </row>
    <row r="83" spans="1:19">
      <c r="A83">
        <f>'List of countries'!A82</f>
        <v>83</v>
      </c>
      <c r="B83" t="str">
        <f>'List of countries'!B82</f>
        <v>LTV</v>
      </c>
      <c r="C83" t="str">
        <f>'List of countries'!C82</f>
        <v>Latvia</v>
      </c>
      <c r="D83" t="str">
        <f>'List of countries'!D82</f>
        <v>other</v>
      </c>
      <c r="E83">
        <f>'List of countries'!E82</f>
        <v>0</v>
      </c>
      <c r="F83" t="e">
        <f>-LN(VLOOKUP($B83,'Klenow - RC'!$B$2:$F$93,2,FALSE))</f>
        <v>#N/A</v>
      </c>
      <c r="G83" t="e">
        <f>LN(VLOOKUP($B83,'Klenow - RC'!$B$2:$F$93,5,FALSE))</f>
        <v>#N/A</v>
      </c>
      <c r="H83" t="e">
        <f t="shared" si="9"/>
        <v>#N/A</v>
      </c>
      <c r="I83">
        <f>-LN(VLOOKUP($B83,'Dev Acc 2000'!$D$4:$O$191,4,FALSE))+LN('Dev Acc 2000'!$G$150)</f>
        <v>1.3400094578744621</v>
      </c>
      <c r="J83">
        <f t="shared" si="10"/>
        <v>-1.3400094578744621</v>
      </c>
      <c r="K83" t="e">
        <f>LN(VLOOKUP($B83,'Dev Acc 2000'!$D$4:$O$191,11,FALSE))-LN('Dev Acc 2000'!$N$150)</f>
        <v>#N/A</v>
      </c>
      <c r="L83" t="e">
        <f t="shared" si="11"/>
        <v>#N/A</v>
      </c>
      <c r="M83">
        <f>VLOOKUP(A83,'Country FEs'!$A$3:$H$173,3)-US_avg_adoption_lag</f>
        <v>30.114190000000001</v>
      </c>
      <c r="N83">
        <f t="shared" si="12"/>
        <v>-0.42159866000000001</v>
      </c>
      <c r="O83">
        <f t="shared" si="13"/>
        <v>0.65599726451066298</v>
      </c>
      <c r="P83">
        <f t="shared" si="14"/>
        <v>-0.60228380000000004</v>
      </c>
      <c r="Q83" t="e">
        <f t="shared" si="15"/>
        <v>#N/A</v>
      </c>
      <c r="R83" t="e">
        <f t="shared" si="16"/>
        <v>#N/A</v>
      </c>
      <c r="S83">
        <f t="shared" si="17"/>
        <v>-0.57731130484719317</v>
      </c>
    </row>
    <row r="84" spans="1:19">
      <c r="A84">
        <f>'List of countries'!A83</f>
        <v>84</v>
      </c>
      <c r="B84" t="str">
        <f>'List of countries'!B83</f>
        <v>LEB</v>
      </c>
      <c r="C84" t="str">
        <f>'List of countries'!C83</f>
        <v>Lebanon</v>
      </c>
      <c r="D84" t="str">
        <f>'List of countries'!D83</f>
        <v>other</v>
      </c>
      <c r="E84">
        <f>'List of countries'!E83</f>
        <v>0</v>
      </c>
      <c r="F84" t="e">
        <f>-LN(VLOOKUP($B84,'Klenow - RC'!$B$2:$F$93,2,FALSE))</f>
        <v>#N/A</v>
      </c>
      <c r="G84" t="e">
        <f>LN(VLOOKUP($B84,'Klenow - RC'!$B$2:$F$93,5,FALSE))</f>
        <v>#N/A</v>
      </c>
      <c r="H84" t="e">
        <f t="shared" si="9"/>
        <v>#N/A</v>
      </c>
      <c r="I84">
        <f>-LN(VLOOKUP($B84,'Dev Acc 2000'!$D$4:$O$191,4,FALSE))+LN('Dev Acc 2000'!$G$150)</f>
        <v>1.716531676564589</v>
      </c>
      <c r="J84">
        <f t="shared" si="10"/>
        <v>-1.716531676564589</v>
      </c>
      <c r="K84" t="e">
        <f>LN(VLOOKUP($B84,'Dev Acc 2000'!$D$4:$O$191,11,FALSE))-LN('Dev Acc 2000'!$N$150)</f>
        <v>#N/A</v>
      </c>
      <c r="L84" t="e">
        <f t="shared" si="11"/>
        <v>#N/A</v>
      </c>
      <c r="M84">
        <f>VLOOKUP(A84,'Country FEs'!$A$3:$H$173,3)-US_avg_adoption_lag</f>
        <v>52.440880000000007</v>
      </c>
      <c r="N84">
        <f t="shared" si="12"/>
        <v>-0.7341723200000001</v>
      </c>
      <c r="O84">
        <f t="shared" si="13"/>
        <v>0.47990250034211157</v>
      </c>
      <c r="P84">
        <f t="shared" si="14"/>
        <v>-1.0488176000000002</v>
      </c>
      <c r="Q84" t="e">
        <f t="shared" si="15"/>
        <v>#N/A</v>
      </c>
      <c r="R84" t="e">
        <f t="shared" si="16"/>
        <v>#N/A</v>
      </c>
      <c r="S84">
        <f t="shared" si="17"/>
        <v>-0.63549706041561382</v>
      </c>
    </row>
    <row r="85" spans="1:19">
      <c r="A85">
        <f>'List of countries'!A84</f>
        <v>85</v>
      </c>
      <c r="B85" t="str">
        <f>'List of countries'!B84</f>
        <v>LES</v>
      </c>
      <c r="C85" t="str">
        <f>'List of countries'!C84</f>
        <v>Lesotho</v>
      </c>
      <c r="D85" t="str">
        <f>'List of countries'!D84</f>
        <v>SubSaharan</v>
      </c>
      <c r="E85">
        <f>'List of countries'!E84</f>
        <v>0</v>
      </c>
      <c r="F85">
        <f>-LN(VLOOKUP($B85,'Klenow - RC'!$B$2:$F$93,2,FALSE))</f>
        <v>2.8134107167600364</v>
      </c>
      <c r="G85">
        <f>LN(VLOOKUP($B85,'Klenow - RC'!$B$2:$F$93,5,FALSE))</f>
        <v>-1.7147984280919266</v>
      </c>
      <c r="H85">
        <f t="shared" si="9"/>
        <v>0.18000000000000002</v>
      </c>
      <c r="I85">
        <f>-LN(VLOOKUP($B85,'Dev Acc 2000'!$D$4:$O$191,4,FALSE))+LN('Dev Acc 2000'!$G$150)</f>
        <v>2.9305782809131795</v>
      </c>
      <c r="J85">
        <f t="shared" si="10"/>
        <v>-2.9305782809131795</v>
      </c>
      <c r="K85">
        <f>LN(VLOOKUP($B85,'Dev Acc 2000'!$D$4:$O$191,11,FALSE))-LN('Dev Acc 2000'!$N$150)</f>
        <v>-2.1010614383516959</v>
      </c>
      <c r="L85">
        <f t="shared" si="11"/>
        <v>0.12232651726207355</v>
      </c>
      <c r="M85">
        <f>VLOOKUP(A85,'Country FEs'!$A$3:$H$173,3)-US_avg_adoption_lag</f>
        <v>64.599469999999997</v>
      </c>
      <c r="N85">
        <f t="shared" si="12"/>
        <v>-0.90439258</v>
      </c>
      <c r="O85">
        <f t="shared" si="13"/>
        <v>0.40478768657967701</v>
      </c>
      <c r="P85">
        <f t="shared" si="14"/>
        <v>-1.2919894000000001</v>
      </c>
      <c r="Q85">
        <f t="shared" si="15"/>
        <v>-0.57246821923324887</v>
      </c>
      <c r="R85">
        <f t="shared" si="16"/>
        <v>-0.56616206101118838</v>
      </c>
      <c r="S85">
        <f t="shared" si="17"/>
        <v>-0.82310941225781464</v>
      </c>
    </row>
    <row r="86" spans="1:19">
      <c r="A86">
        <f>'List of countries'!A85</f>
        <v>86</v>
      </c>
      <c r="B86" t="str">
        <f>'List of countries'!B85</f>
        <v>LIB</v>
      </c>
      <c r="C86" t="str">
        <f>'List of countries'!C85</f>
        <v>Liberia</v>
      </c>
      <c r="D86" t="str">
        <f>'List of countries'!D85</f>
        <v>SubSaharan</v>
      </c>
      <c r="E86">
        <f>'List of countries'!E85</f>
        <v>0</v>
      </c>
      <c r="F86">
        <f>-LN(VLOOKUP($B86,'Klenow - RC'!$B$2:$F$93,2,FALSE))</f>
        <v>2.6592600369327779</v>
      </c>
      <c r="G86">
        <f>LN(VLOOKUP($B86,'Klenow - RC'!$B$2:$F$93,5,FALSE))</f>
        <v>-1.7147984280919266</v>
      </c>
      <c r="H86">
        <f t="shared" si="9"/>
        <v>0.18000000000000002</v>
      </c>
      <c r="I86">
        <f>-LN(VLOOKUP($B86,'Dev Acc 2000'!$D$4:$O$191,4,FALSE))+LN('Dev Acc 2000'!$G$150)</f>
        <v>4.2868750510911324</v>
      </c>
      <c r="J86">
        <f t="shared" si="10"/>
        <v>-4.2868750510911324</v>
      </c>
      <c r="K86">
        <f>LN(VLOOKUP($B86,'Dev Acc 2000'!$D$4:$O$191,11,FALSE))-LN('Dev Acc 2000'!$N$150)</f>
        <v>-3.1913991575629908</v>
      </c>
      <c r="L86">
        <f t="shared" si="11"/>
        <v>4.1114305285561675E-2</v>
      </c>
      <c r="M86">
        <f>VLOOKUP(A86,'Country FEs'!$A$3:$H$173,3)-US_avg_adoption_lag</f>
        <v>57.217530000000004</v>
      </c>
      <c r="N86">
        <f t="shared" si="12"/>
        <v>-0.80104542000000012</v>
      </c>
      <c r="O86">
        <f t="shared" si="13"/>
        <v>0.44885947208249466</v>
      </c>
      <c r="P86">
        <f t="shared" si="14"/>
        <v>-1.1443506000000003</v>
      </c>
      <c r="Q86">
        <f t="shared" si="15"/>
        <v>-0.57246821923324887</v>
      </c>
      <c r="R86">
        <f t="shared" si="16"/>
        <v>-0.70509002005295707</v>
      </c>
      <c r="S86">
        <f t="shared" si="17"/>
        <v>-1.0327043536197231</v>
      </c>
    </row>
    <row r="87" spans="1:19">
      <c r="A87">
        <f>'List of countries'!A86</f>
        <v>87</v>
      </c>
      <c r="B87" t="str">
        <f>'List of countries'!B86</f>
        <v>LBY</v>
      </c>
      <c r="C87" t="str">
        <f>'List of countries'!C86</f>
        <v>Libya</v>
      </c>
      <c r="D87" t="str">
        <f>'List of countries'!D86</f>
        <v>other</v>
      </c>
      <c r="E87">
        <f>'List of countries'!E86</f>
        <v>0</v>
      </c>
      <c r="F87" t="e">
        <f>-LN(VLOOKUP($B87,'Klenow - RC'!$B$2:$F$93,2,FALSE))</f>
        <v>#N/A</v>
      </c>
      <c r="G87" t="e">
        <f>LN(VLOOKUP($B87,'Klenow - RC'!$B$2:$F$93,5,FALSE))</f>
        <v>#N/A</v>
      </c>
      <c r="H87" t="e">
        <f t="shared" si="9"/>
        <v>#N/A</v>
      </c>
      <c r="I87">
        <f>-LN(VLOOKUP($B87,'Dev Acc 2000'!$D$4:$O$191,4,FALSE))+LN('Dev Acc 2000'!$G$150)</f>
        <v>1.2015023873021029</v>
      </c>
      <c r="J87">
        <f t="shared" si="10"/>
        <v>-1.2015023873021029</v>
      </c>
      <c r="K87" t="e">
        <f>NA()</f>
        <v>#N/A</v>
      </c>
      <c r="L87" t="e">
        <f t="shared" si="11"/>
        <v>#N/A</v>
      </c>
      <c r="M87">
        <f>VLOOKUP(A87,'Country FEs'!$A$3:$H$173,3)-US_avg_adoption_lag</f>
        <v>59.848020000000005</v>
      </c>
      <c r="N87">
        <f t="shared" si="12"/>
        <v>-0.83787228000000014</v>
      </c>
      <c r="O87">
        <f t="shared" si="13"/>
        <v>0.43263006045574126</v>
      </c>
      <c r="P87">
        <f t="shared" si="14"/>
        <v>-1.1969604000000003</v>
      </c>
      <c r="Q87" t="e">
        <f t="shared" si="15"/>
        <v>#N/A</v>
      </c>
      <c r="R87" t="e">
        <f t="shared" si="16"/>
        <v>#N/A</v>
      </c>
      <c r="S87">
        <f t="shared" si="17"/>
        <v>-0.55590715350425779</v>
      </c>
    </row>
    <row r="88" spans="1:19">
      <c r="A88">
        <f>'List of countries'!A87</f>
        <v>88</v>
      </c>
      <c r="B88" t="str">
        <f>'List of countries'!B87</f>
        <v>LTH</v>
      </c>
      <c r="C88" t="str">
        <f>'List of countries'!C87</f>
        <v>Lithuania</v>
      </c>
      <c r="D88" t="str">
        <f>'List of countries'!D87</f>
        <v>other</v>
      </c>
      <c r="E88">
        <f>'List of countries'!E87</f>
        <v>0</v>
      </c>
      <c r="F88" t="e">
        <f>-LN(VLOOKUP($B88,'Klenow - RC'!$B$2:$F$93,2,FALSE))</f>
        <v>#N/A</v>
      </c>
      <c r="G88" t="e">
        <f>LN(VLOOKUP($B88,'Klenow - RC'!$B$2:$F$93,5,FALSE))</f>
        <v>#N/A</v>
      </c>
      <c r="H88" t="e">
        <f t="shared" si="9"/>
        <v>#N/A</v>
      </c>
      <c r="I88">
        <f>-LN(VLOOKUP($B88,'Dev Acc 2000'!$D$4:$O$191,4,FALSE))+LN('Dev Acc 2000'!$G$150)</f>
        <v>1.3220940129359899</v>
      </c>
      <c r="J88">
        <f t="shared" si="10"/>
        <v>-1.3220940129359899</v>
      </c>
      <c r="K88" t="e">
        <f>LN(VLOOKUP($B88,'Dev Acc 2000'!$D$4:$O$191,11,FALSE))-LN('Dev Acc 2000'!$N$150)</f>
        <v>#N/A</v>
      </c>
      <c r="L88" t="e">
        <f t="shared" si="11"/>
        <v>#N/A</v>
      </c>
      <c r="M88">
        <f>VLOOKUP(A88,'Country FEs'!$A$3:$H$173,3)-US_avg_adoption_lag</f>
        <v>30.293390000000002</v>
      </c>
      <c r="N88">
        <f t="shared" si="12"/>
        <v>-0.42410746000000005</v>
      </c>
      <c r="O88">
        <f t="shared" si="13"/>
        <v>0.65435356129690281</v>
      </c>
      <c r="P88">
        <f t="shared" si="14"/>
        <v>-0.60586780000000007</v>
      </c>
      <c r="Q88" t="e">
        <f t="shared" si="15"/>
        <v>#N/A</v>
      </c>
      <c r="R88" t="e">
        <f t="shared" si="16"/>
        <v>#N/A</v>
      </c>
      <c r="S88">
        <f t="shared" si="17"/>
        <v>-0.57454274658331195</v>
      </c>
    </row>
    <row r="89" spans="1:19">
      <c r="A89">
        <f>'List of countries'!A88</f>
        <v>89</v>
      </c>
      <c r="B89" t="str">
        <f>'List of countries'!B88</f>
        <v>LUX</v>
      </c>
      <c r="C89" t="str">
        <f>'List of countries'!C88</f>
        <v>Luxembourg</v>
      </c>
      <c r="D89" t="str">
        <f>'List of countries'!D88</f>
        <v>OECD</v>
      </c>
      <c r="E89">
        <f>'List of countries'!E88</f>
        <v>0</v>
      </c>
      <c r="F89" t="e">
        <f>-LN(VLOOKUP($B89,'Klenow - RC'!$B$2:$F$93,2,FALSE))</f>
        <v>#N/A</v>
      </c>
      <c r="G89" t="e">
        <f>LN(VLOOKUP($B89,'Klenow - RC'!$B$2:$F$93,5,FALSE))</f>
        <v>#N/A</v>
      </c>
      <c r="H89" t="e">
        <f t="shared" si="9"/>
        <v>#N/A</v>
      </c>
      <c r="I89">
        <f>-LN(VLOOKUP($B89,'Dev Acc 2000'!$D$4:$O$191,4,FALSE))+LN('Dev Acc 2000'!$G$150)</f>
        <v>-0.33869321671572727</v>
      </c>
      <c r="J89">
        <f t="shared" si="10"/>
        <v>0.33869321671572727</v>
      </c>
      <c r="K89">
        <f>LN(VLOOKUP($B89,'Dev Acc 2000'!$D$4:$O$191,11,FALSE))-LN('Dev Acc 2000'!$N$150)</f>
        <v>0.51410273279282492</v>
      </c>
      <c r="L89">
        <f t="shared" si="11"/>
        <v>1.672137474365252</v>
      </c>
      <c r="M89" t="e">
        <f>VLOOKUP(A89,'Country FEs'!$A$3:$H$173,3)-US_avg_adoption_lag</f>
        <v>#N/A</v>
      </c>
      <c r="N89" t="e">
        <f t="shared" si="12"/>
        <v>#N/A</v>
      </c>
      <c r="O89" t="e">
        <f t="shared" si="13"/>
        <v>#N/A</v>
      </c>
      <c r="P89" t="e">
        <f t="shared" si="14"/>
        <v>#N/A</v>
      </c>
      <c r="Q89" t="e">
        <f t="shared" si="15"/>
        <v>#N/A</v>
      </c>
      <c r="R89">
        <f t="shared" si="16"/>
        <v>-0.23294473352197972</v>
      </c>
      <c r="S89">
        <f t="shared" si="17"/>
        <v>-0.31789345738107755</v>
      </c>
    </row>
    <row r="90" spans="1:19">
      <c r="A90">
        <f>'List of countries'!A89</f>
        <v>90</v>
      </c>
      <c r="B90" t="str">
        <f>'List of countries'!B89</f>
        <v>MAC</v>
      </c>
      <c r="C90" t="str">
        <f>'List of countries'!C89</f>
        <v>Macedonia</v>
      </c>
      <c r="D90" t="str">
        <f>'List of countries'!D89</f>
        <v>other</v>
      </c>
      <c r="E90">
        <f>'List of countries'!E89</f>
        <v>0</v>
      </c>
      <c r="F90" t="e">
        <f>-LN(VLOOKUP($B90,'Klenow - RC'!$B$2:$F$93,2,FALSE))</f>
        <v>#N/A</v>
      </c>
      <c r="G90" t="e">
        <f>LN(VLOOKUP($B90,'Klenow - RC'!$B$2:$F$93,5,FALSE))</f>
        <v>#N/A</v>
      </c>
      <c r="H90" t="e">
        <f t="shared" si="9"/>
        <v>#N/A</v>
      </c>
      <c r="I90">
        <f>-LN(VLOOKUP($B90,'Dev Acc 2000'!$D$4:$O$191,4,FALSE))+LN('Dev Acc 2000'!$G$150)</f>
        <v>1.8748558697277904</v>
      </c>
      <c r="J90">
        <f t="shared" si="10"/>
        <v>-1.8748558697277904</v>
      </c>
      <c r="K90" t="e">
        <f>LN(VLOOKUP($B90,'Dev Acc 2000'!$D$4:$O$191,11,FALSE))-LN('Dev Acc 2000'!$N$150)</f>
        <v>#N/A</v>
      </c>
      <c r="L90" t="e">
        <f t="shared" si="11"/>
        <v>#N/A</v>
      </c>
      <c r="M90" t="e">
        <f>VLOOKUP(A90,'Country FEs'!$A$3:$H$173,3)-US_avg_adoption_lag</f>
        <v>#N/A</v>
      </c>
      <c r="N90" t="e">
        <f t="shared" si="12"/>
        <v>#N/A</v>
      </c>
      <c r="O90" t="e">
        <f t="shared" si="13"/>
        <v>#N/A</v>
      </c>
      <c r="P90" t="e">
        <f t="shared" si="14"/>
        <v>#N/A</v>
      </c>
      <c r="Q90" t="e">
        <f t="shared" si="15"/>
        <v>#N/A</v>
      </c>
      <c r="R90" t="e">
        <f t="shared" si="16"/>
        <v>#N/A</v>
      </c>
      <c r="S90">
        <f t="shared" si="17"/>
        <v>-0.65996364524561291</v>
      </c>
    </row>
    <row r="91" spans="1:19">
      <c r="A91">
        <f>'List of countries'!A90</f>
        <v>91</v>
      </c>
      <c r="B91" t="str">
        <f>'List of countries'!B90</f>
        <v>MAD</v>
      </c>
      <c r="C91" t="str">
        <f>'List of countries'!C90</f>
        <v>Madagascar</v>
      </c>
      <c r="D91" t="str">
        <f>'List of countries'!D90</f>
        <v>SubSaharan</v>
      </c>
      <c r="E91">
        <f>'List of countries'!E90</f>
        <v>0</v>
      </c>
      <c r="F91" t="e">
        <f>-LN(VLOOKUP($B91,'Klenow - RC'!$B$2:$F$93,2,FALSE))</f>
        <v>#N/A</v>
      </c>
      <c r="G91" t="e">
        <f>LN(VLOOKUP($B91,'Klenow - RC'!$B$2:$F$93,5,FALSE))</f>
        <v>#N/A</v>
      </c>
      <c r="H91" t="e">
        <f t="shared" si="9"/>
        <v>#N/A</v>
      </c>
      <c r="I91">
        <f>-LN(VLOOKUP($B91,'Dev Acc 2000'!$D$4:$O$191,4,FALSE))+LN('Dev Acc 2000'!$G$150)</f>
        <v>3.7319663916610342</v>
      </c>
      <c r="J91">
        <f t="shared" si="10"/>
        <v>-3.7319663916610342</v>
      </c>
      <c r="K91">
        <f>LN(VLOOKUP($B91,'Dev Acc 2000'!$D$4:$O$191,11,FALSE))-LN('Dev Acc 2000'!$N$150)</f>
        <v>-2.3369846786376893</v>
      </c>
      <c r="L91">
        <f t="shared" si="11"/>
        <v>9.6618535369602271E-2</v>
      </c>
      <c r="M91">
        <f>VLOOKUP(A91,'Country FEs'!$A$3:$H$173,3)-US_avg_adoption_lag</f>
        <v>36.599100000000007</v>
      </c>
      <c r="N91">
        <f t="shared" si="12"/>
        <v>-0.51238740000000016</v>
      </c>
      <c r="O91">
        <f t="shared" si="13"/>
        <v>0.59906366562230462</v>
      </c>
      <c r="P91">
        <f t="shared" si="14"/>
        <v>-0.73198200000000024</v>
      </c>
      <c r="Q91" t="e">
        <f t="shared" si="15"/>
        <v>#N/A</v>
      </c>
      <c r="R91">
        <f t="shared" si="16"/>
        <v>-0.59622277860900097</v>
      </c>
      <c r="S91">
        <f t="shared" si="17"/>
        <v>-0.94695169941322022</v>
      </c>
    </row>
    <row r="92" spans="1:19">
      <c r="A92">
        <f>'List of countries'!A91</f>
        <v>92</v>
      </c>
      <c r="B92" t="str">
        <f>'List of countries'!B91</f>
        <v>MLW</v>
      </c>
      <c r="C92" t="str">
        <f>'List of countries'!C91</f>
        <v>Malawi</v>
      </c>
      <c r="D92" t="str">
        <f>'List of countries'!D91</f>
        <v>SubSaharan</v>
      </c>
      <c r="E92">
        <f>'List of countries'!E91</f>
        <v>0</v>
      </c>
      <c r="F92">
        <f>-LN(VLOOKUP($B92,'Klenow - RC'!$B$2:$F$93,2,FALSE))</f>
        <v>3.5065578973199818</v>
      </c>
      <c r="G92">
        <f>LN(VLOOKUP($B92,'Klenow - RC'!$B$2:$F$93,5,FALSE))</f>
        <v>-2.3025850929940455</v>
      </c>
      <c r="H92">
        <f t="shared" si="9"/>
        <v>0.10000000000000002</v>
      </c>
      <c r="I92">
        <f>-LN(VLOOKUP($B92,'Dev Acc 2000'!$D$4:$O$191,4,FALSE))+LN('Dev Acc 2000'!$G$150)</f>
        <v>3.7125815778529265</v>
      </c>
      <c r="J92">
        <f t="shared" si="10"/>
        <v>-3.7125815778529265</v>
      </c>
      <c r="K92">
        <f>LN(VLOOKUP($B92,'Dev Acc 2000'!$D$4:$O$191,11,FALSE))-LN('Dev Acc 2000'!$N$150)</f>
        <v>-2.3142733359973064</v>
      </c>
      <c r="L92">
        <f t="shared" si="11"/>
        <v>9.8837979915322852E-2</v>
      </c>
      <c r="M92">
        <f>VLOOKUP(A92,'Country FEs'!$A$3:$H$173,3)-US_avg_adoption_lag</f>
        <v>46.984960000000001</v>
      </c>
      <c r="N92">
        <f t="shared" si="12"/>
        <v>-0.65778944000000006</v>
      </c>
      <c r="O92">
        <f t="shared" si="13"/>
        <v>0.51799512912523582</v>
      </c>
      <c r="P92">
        <f t="shared" si="14"/>
        <v>-0.93969920000000018</v>
      </c>
      <c r="Q92">
        <f t="shared" si="15"/>
        <v>-0.66132411887310116</v>
      </c>
      <c r="R92">
        <f t="shared" si="16"/>
        <v>-0.59332895917623929</v>
      </c>
      <c r="S92">
        <f t="shared" si="17"/>
        <v>-0.94395607264276882</v>
      </c>
    </row>
    <row r="93" spans="1:19">
      <c r="A93">
        <f>'List of countries'!A92</f>
        <v>93</v>
      </c>
      <c r="B93" t="str">
        <f>'List of countries'!B92</f>
        <v>MLY</v>
      </c>
      <c r="C93" t="str">
        <f>'List of countries'!C92</f>
        <v>Malaysia</v>
      </c>
      <c r="D93" t="str">
        <f>'List of countries'!D92</f>
        <v>other</v>
      </c>
      <c r="E93">
        <f>'List of countries'!E92</f>
        <v>0</v>
      </c>
      <c r="F93">
        <f>-LN(VLOOKUP($B93,'Klenow - RC'!$B$2:$F$93,2,FALSE))</f>
        <v>1.1711829815029451</v>
      </c>
      <c r="G93">
        <f>LN(VLOOKUP($B93,'Klenow - RC'!$B$2:$F$93,5,FALSE))</f>
        <v>-0.46203545959655867</v>
      </c>
      <c r="H93">
        <f t="shared" si="9"/>
        <v>0.63</v>
      </c>
      <c r="I93">
        <f>-LN(VLOOKUP($B93,'Dev Acc 2000'!$D$4:$O$191,4,FALSE))+LN('Dev Acc 2000'!$G$150)</f>
        <v>1.1029281675683613</v>
      </c>
      <c r="J93">
        <f t="shared" si="10"/>
        <v>-1.1029281675683613</v>
      </c>
      <c r="K93">
        <f>LN(VLOOKUP($B93,'Dev Acc 2000'!$D$4:$O$191,11,FALSE))-LN('Dev Acc 2000'!$N$150)</f>
        <v>-0.60879453205275524</v>
      </c>
      <c r="L93">
        <f t="shared" si="11"/>
        <v>0.54400625607592357</v>
      </c>
      <c r="M93">
        <f>VLOOKUP(A93,'Country FEs'!$A$3:$H$173,3)-US_avg_adoption_lag</f>
        <v>30.995220000000003</v>
      </c>
      <c r="N93">
        <f t="shared" si="12"/>
        <v>-0.43393308000000008</v>
      </c>
      <c r="O93">
        <f t="shared" si="13"/>
        <v>0.64795561522428835</v>
      </c>
      <c r="P93">
        <f t="shared" si="14"/>
        <v>-0.61990440000000013</v>
      </c>
      <c r="Q93">
        <f t="shared" si="15"/>
        <v>-0.38308763738611823</v>
      </c>
      <c r="R93">
        <f t="shared" si="16"/>
        <v>-0.37602134407107279</v>
      </c>
      <c r="S93">
        <f t="shared" si="17"/>
        <v>-0.54067401407697846</v>
      </c>
    </row>
    <row r="94" spans="1:19">
      <c r="A94">
        <f>'List of countries'!A93</f>
        <v>94</v>
      </c>
      <c r="B94" t="str">
        <f>'List of countries'!B93</f>
        <v>MAL</v>
      </c>
      <c r="C94" t="str">
        <f>'List of countries'!C93</f>
        <v>Mali</v>
      </c>
      <c r="D94" t="str">
        <f>'List of countries'!D93</f>
        <v>SubSaharan</v>
      </c>
      <c r="E94">
        <f>'List of countries'!E93</f>
        <v>0</v>
      </c>
      <c r="F94">
        <f>-LN(VLOOKUP($B94,'Klenow - RC'!$B$2:$F$93,2,FALSE))</f>
        <v>2.9957322735539909</v>
      </c>
      <c r="G94">
        <f>LN(VLOOKUP($B94,'Klenow - RC'!$B$2:$F$93,5,FALSE))</f>
        <v>-1.8325814637483102</v>
      </c>
      <c r="H94">
        <f t="shared" si="9"/>
        <v>0.15999999999999998</v>
      </c>
      <c r="I94">
        <f>-LN(VLOOKUP($B94,'Dev Acc 2000'!$D$4:$O$191,4,FALSE))+LN('Dev Acc 2000'!$G$150)</f>
        <v>3.4913634006265895</v>
      </c>
      <c r="J94">
        <f t="shared" si="10"/>
        <v>-3.4913634006265895</v>
      </c>
      <c r="K94">
        <f>LN(VLOOKUP($B94,'Dev Acc 2000'!$D$4:$O$191,11,FALSE))-LN('Dev Acc 2000'!$N$150)</f>
        <v>-1.6578786522615436</v>
      </c>
      <c r="L94">
        <f t="shared" si="11"/>
        <v>0.19054275912338769</v>
      </c>
      <c r="M94">
        <f>VLOOKUP(A94,'Country FEs'!$A$3:$H$173,3)-US_avg_adoption_lag</f>
        <v>50.240630000000003</v>
      </c>
      <c r="N94">
        <f t="shared" si="12"/>
        <v>-0.70336882000000001</v>
      </c>
      <c r="O94">
        <f t="shared" si="13"/>
        <v>0.49491521198710881</v>
      </c>
      <c r="P94">
        <f t="shared" si="14"/>
        <v>-1.0048126000000002</v>
      </c>
      <c r="Q94">
        <f t="shared" si="15"/>
        <v>-0.59027351870751232</v>
      </c>
      <c r="R94">
        <f t="shared" si="16"/>
        <v>-0.50969287823496823</v>
      </c>
      <c r="S94">
        <f t="shared" si="17"/>
        <v>-0.9097701836076878</v>
      </c>
    </row>
    <row r="95" spans="1:19">
      <c r="A95">
        <f>'List of countries'!A94</f>
        <v>95</v>
      </c>
      <c r="B95" t="str">
        <f>'List of countries'!B94</f>
        <v>MAU</v>
      </c>
      <c r="C95" t="str">
        <f>'List of countries'!C94</f>
        <v>Mauritania</v>
      </c>
      <c r="D95" t="str">
        <f>'List of countries'!D94</f>
        <v>SubSaharan</v>
      </c>
      <c r="E95">
        <f>'List of countries'!E94</f>
        <v>0</v>
      </c>
      <c r="F95" t="e">
        <f>-LN(VLOOKUP($B95,'Klenow - RC'!$B$2:$F$93,2,FALSE))</f>
        <v>#N/A</v>
      </c>
      <c r="G95" t="e">
        <f>LN(VLOOKUP($B95,'Klenow - RC'!$B$2:$F$93,5,FALSE))</f>
        <v>#N/A</v>
      </c>
      <c r="H95" t="e">
        <f t="shared" si="9"/>
        <v>#N/A</v>
      </c>
      <c r="I95">
        <f>-LN(VLOOKUP($B95,'Dev Acc 2000'!$D$4:$O$191,4,FALSE))+LN('Dev Acc 2000'!$G$150)</f>
        <v>3.1173396175815267</v>
      </c>
      <c r="J95">
        <f t="shared" si="10"/>
        <v>-3.1173396175815267</v>
      </c>
      <c r="K95">
        <f>LN(VLOOKUP($B95,'Dev Acc 2000'!$D$4:$O$191,11,FALSE))-LN('Dev Acc 2000'!$N$150)</f>
        <v>-1.728251670036574</v>
      </c>
      <c r="L95">
        <f t="shared" si="11"/>
        <v>0.17759463272272311</v>
      </c>
      <c r="M95">
        <f>VLOOKUP(A95,'Country FEs'!$A$3:$H$173,3)-US_avg_adoption_lag</f>
        <v>55.457490000000007</v>
      </c>
      <c r="N95">
        <f t="shared" si="12"/>
        <v>-0.77640486000000009</v>
      </c>
      <c r="O95">
        <f t="shared" si="13"/>
        <v>0.46005701110214398</v>
      </c>
      <c r="P95">
        <f t="shared" si="14"/>
        <v>-1.1091498000000002</v>
      </c>
      <c r="Q95" t="e">
        <f t="shared" si="15"/>
        <v>#N/A</v>
      </c>
      <c r="R95">
        <f t="shared" si="16"/>
        <v>-0.51865962272049071</v>
      </c>
      <c r="S95">
        <f t="shared" si="17"/>
        <v>-0.85197052309164634</v>
      </c>
    </row>
    <row r="96" spans="1:19">
      <c r="A96">
        <f>'List of countries'!A95</f>
        <v>96</v>
      </c>
      <c r="B96" t="str">
        <f>'List of countries'!B95</f>
        <v>MAS</v>
      </c>
      <c r="C96" t="str">
        <f>'List of countries'!C95</f>
        <v>Mauritius</v>
      </c>
      <c r="D96" t="str">
        <f>'List of countries'!D95</f>
        <v>SubSaharan</v>
      </c>
      <c r="E96">
        <f>'List of countries'!E95</f>
        <v>0</v>
      </c>
      <c r="F96">
        <f>-LN(VLOOKUP($B96,'Klenow - RC'!$B$2:$F$93,2,FALSE))</f>
        <v>1.5141277326297755</v>
      </c>
      <c r="G96">
        <f>LN(VLOOKUP($B96,'Klenow - RC'!$B$2:$F$93,5,FALSE))</f>
        <v>-0.52763274208237199</v>
      </c>
      <c r="H96">
        <f t="shared" si="9"/>
        <v>0.59</v>
      </c>
      <c r="I96">
        <f>-LN(VLOOKUP($B96,'Dev Acc 2000'!$D$4:$O$191,4,FALSE))+LN('Dev Acc 2000'!$G$150)</f>
        <v>0.82093909195978298</v>
      </c>
      <c r="J96">
        <f t="shared" si="10"/>
        <v>-0.82093909195978298</v>
      </c>
      <c r="K96">
        <f>LN(VLOOKUP($B96,'Dev Acc 2000'!$D$4:$O$191,11,FALSE))-LN('Dev Acc 2000'!$N$150)</f>
        <v>2.9326524327226267E-2</v>
      </c>
      <c r="L96">
        <f t="shared" si="11"/>
        <v>1.0297607815319112</v>
      </c>
      <c r="M96">
        <f>VLOOKUP(A96,'Country FEs'!$A$3:$H$173,3)-US_avg_adoption_lag</f>
        <v>38.955230000000007</v>
      </c>
      <c r="N96">
        <f t="shared" si="12"/>
        <v>-0.5453732200000001</v>
      </c>
      <c r="O96">
        <f t="shared" si="13"/>
        <v>0.57962541516844424</v>
      </c>
      <c r="P96">
        <f t="shared" si="14"/>
        <v>-0.77910460000000015</v>
      </c>
      <c r="Q96">
        <f t="shared" si="15"/>
        <v>-0.39300399972852879</v>
      </c>
      <c r="R96">
        <f t="shared" si="16"/>
        <v>-0.29471364057478722</v>
      </c>
      <c r="S96">
        <f t="shared" si="17"/>
        <v>-0.4970969112876501</v>
      </c>
    </row>
    <row r="97" spans="1:19">
      <c r="A97">
        <f>'List of countries'!A96</f>
        <v>97</v>
      </c>
      <c r="B97" t="str">
        <f>'List of countries'!B96</f>
        <v>MEX</v>
      </c>
      <c r="C97" t="str">
        <f>'List of countries'!C96</f>
        <v>Mexico</v>
      </c>
      <c r="D97" t="str">
        <f>'List of countries'!D96</f>
        <v>Latin</v>
      </c>
      <c r="E97">
        <f>'List of countries'!E96</f>
        <v>0</v>
      </c>
      <c r="F97">
        <f>-LN(VLOOKUP($B97,'Klenow - RC'!$B$2:$F$93,2,FALSE))</f>
        <v>0.69314718055994529</v>
      </c>
      <c r="G97">
        <f>LN(VLOOKUP($B97,'Klenow - RC'!$B$2:$F$93,5,FALSE))</f>
        <v>0.25464221837358075</v>
      </c>
      <c r="H97">
        <f t="shared" si="9"/>
        <v>1.29</v>
      </c>
      <c r="I97">
        <f>-LN(VLOOKUP($B97,'Dev Acc 2000'!$D$4:$O$191,4,FALSE))+LN('Dev Acc 2000'!$G$150)</f>
        <v>1.4473734252728701</v>
      </c>
      <c r="J97">
        <f t="shared" si="10"/>
        <v>-1.4473734252728701</v>
      </c>
      <c r="K97">
        <f>LN(VLOOKUP($B97,'Dev Acc 2000'!$D$4:$O$191,11,FALSE))-LN('Dev Acc 2000'!$N$150)</f>
        <v>-1.0293454488711529</v>
      </c>
      <c r="L97">
        <f t="shared" si="11"/>
        <v>0.35724071637241084</v>
      </c>
      <c r="M97">
        <f>VLOOKUP(A97,'Country FEs'!$A$3:$H$173,3)-US_avg_adoption_lag</f>
        <v>17.050250000000005</v>
      </c>
      <c r="N97">
        <f t="shared" si="12"/>
        <v>-0.23870350000000007</v>
      </c>
      <c r="O97">
        <f t="shared" si="13"/>
        <v>0.78764838550043936</v>
      </c>
      <c r="P97">
        <f t="shared" si="14"/>
        <v>-0.34100500000000011</v>
      </c>
      <c r="Q97">
        <f t="shared" si="15"/>
        <v>-0.27474724174539455</v>
      </c>
      <c r="R97">
        <f t="shared" si="16"/>
        <v>-0.42960683370174224</v>
      </c>
      <c r="S97">
        <f t="shared" si="17"/>
        <v>-0.59390276546705345</v>
      </c>
    </row>
    <row r="98" spans="1:19">
      <c r="A98">
        <f>'List of countries'!A97</f>
        <v>98</v>
      </c>
      <c r="B98" t="str">
        <f>'List of countries'!B97</f>
        <v>MOL</v>
      </c>
      <c r="C98" t="str">
        <f>'List of countries'!C97</f>
        <v>Moldova</v>
      </c>
      <c r="D98" t="str">
        <f>'List of countries'!D97</f>
        <v>other</v>
      </c>
      <c r="E98">
        <f>'List of countries'!E97</f>
        <v>0</v>
      </c>
      <c r="F98" t="e">
        <f>-LN(VLOOKUP($B98,'Klenow - RC'!$B$2:$F$93,2,FALSE))</f>
        <v>#N/A</v>
      </c>
      <c r="G98" t="e">
        <f>LN(VLOOKUP($B98,'Klenow - RC'!$B$2:$F$93,5,FALSE))</f>
        <v>#N/A</v>
      </c>
      <c r="H98" t="e">
        <f t="shared" si="9"/>
        <v>#N/A</v>
      </c>
      <c r="I98">
        <f>-LN(VLOOKUP($B98,'Dev Acc 2000'!$D$4:$O$191,4,FALSE))+LN('Dev Acc 2000'!$G$150)</f>
        <v>2.7406011370476469</v>
      </c>
      <c r="J98">
        <f t="shared" si="10"/>
        <v>-2.7406011370476469</v>
      </c>
      <c r="K98" t="e">
        <f>LN(VLOOKUP($B98,'Dev Acc 2000'!$D$4:$O$191,11,FALSE))-LN('Dev Acc 2000'!$N$150)</f>
        <v>#N/A</v>
      </c>
      <c r="L98" t="e">
        <f t="shared" si="11"/>
        <v>#N/A</v>
      </c>
      <c r="M98">
        <f>VLOOKUP(A98,'Country FEs'!$A$3:$H$173,3)-US_avg_adoption_lag</f>
        <v>25.777810000000002</v>
      </c>
      <c r="N98">
        <f t="shared" si="12"/>
        <v>-0.36088934000000006</v>
      </c>
      <c r="O98">
        <f t="shared" si="13"/>
        <v>0.69705613043047587</v>
      </c>
      <c r="P98">
        <f t="shared" si="14"/>
        <v>-0.51555620000000013</v>
      </c>
      <c r="Q98" t="e">
        <f t="shared" si="15"/>
        <v>#N/A</v>
      </c>
      <c r="R98" t="e">
        <f t="shared" si="16"/>
        <v>#N/A</v>
      </c>
      <c r="S98">
        <f t="shared" si="17"/>
        <v>-0.79375134755979526</v>
      </c>
    </row>
    <row r="99" spans="1:19">
      <c r="A99">
        <f>'List of countries'!A98</f>
        <v>99</v>
      </c>
      <c r="B99" t="str">
        <f>'List of countries'!B98</f>
        <v>MON</v>
      </c>
      <c r="C99" t="str">
        <f>'List of countries'!C98</f>
        <v>Mongolia</v>
      </c>
      <c r="D99" t="str">
        <f>'List of countries'!D98</f>
        <v>other</v>
      </c>
      <c r="E99">
        <f>'List of countries'!E98</f>
        <v>0</v>
      </c>
      <c r="F99" t="e">
        <f>-LN(VLOOKUP($B99,'Klenow - RC'!$B$2:$F$93,2,FALSE))</f>
        <v>#N/A</v>
      </c>
      <c r="G99" t="e">
        <f>LN(VLOOKUP($B99,'Klenow - RC'!$B$2:$F$93,5,FALSE))</f>
        <v>#N/A</v>
      </c>
      <c r="H99" t="e">
        <f t="shared" si="9"/>
        <v>#N/A</v>
      </c>
      <c r="I99">
        <f>-LN(VLOOKUP($B99,'Dev Acc 2000'!$D$4:$O$191,4,FALSE))+LN('Dev Acc 2000'!$G$150)</f>
        <v>3.1310382507530257</v>
      </c>
      <c r="J99">
        <f t="shared" si="10"/>
        <v>-3.1310382507530257</v>
      </c>
      <c r="K99" t="e">
        <f>LN(VLOOKUP($B99,'Dev Acc 2000'!$D$4:$O$191,11,FALSE))-LN('Dev Acc 2000'!$N$150)</f>
        <v>#N/A</v>
      </c>
      <c r="L99" t="e">
        <f t="shared" si="11"/>
        <v>#N/A</v>
      </c>
      <c r="M99">
        <f>VLOOKUP(A99,'Country FEs'!$A$3:$H$173,3)-US_avg_adoption_lag</f>
        <v>65.915900000000008</v>
      </c>
      <c r="N99">
        <f t="shared" si="12"/>
        <v>-0.92282260000000016</v>
      </c>
      <c r="O99">
        <f t="shared" si="13"/>
        <v>0.39739576726126247</v>
      </c>
      <c r="P99">
        <f t="shared" si="14"/>
        <v>-1.3183180000000003</v>
      </c>
      <c r="Q99" t="e">
        <f t="shared" si="15"/>
        <v>#N/A</v>
      </c>
      <c r="R99" t="e">
        <f t="shared" si="16"/>
        <v>#N/A</v>
      </c>
      <c r="S99">
        <f t="shared" si="17"/>
        <v>-0.85408743753061689</v>
      </c>
    </row>
    <row r="100" spans="1:19">
      <c r="A100">
        <f>'List of countries'!A99</f>
        <v>100</v>
      </c>
      <c r="B100" t="str">
        <f>'List of countries'!B99</f>
        <v>MNT</v>
      </c>
      <c r="C100" t="str">
        <f>'List of countries'!C99</f>
        <v>Montenegro</v>
      </c>
      <c r="D100" t="str">
        <f>'List of countries'!D99</f>
        <v>other</v>
      </c>
      <c r="E100">
        <f>'List of countries'!E99</f>
        <v>0</v>
      </c>
      <c r="F100" t="e">
        <f>-LN(VLOOKUP($B100,'Klenow - RC'!$B$2:$F$93,2,FALSE))</f>
        <v>#N/A</v>
      </c>
      <c r="G100" t="e">
        <f>LN(VLOOKUP($B100,'Klenow - RC'!$B$2:$F$93,5,FALSE))</f>
        <v>#N/A</v>
      </c>
      <c r="H100" t="e">
        <f t="shared" si="9"/>
        <v>#N/A</v>
      </c>
      <c r="I100" t="e">
        <f>-LN(VLOOKUP($B100,'Dev Acc 2000'!$D$4:$O$191,4,FALSE))+LN('Dev Acc 2000'!$G$150)</f>
        <v>#N/A</v>
      </c>
      <c r="J100" t="e">
        <f t="shared" si="10"/>
        <v>#N/A</v>
      </c>
      <c r="K100" t="e">
        <f>LN(VLOOKUP($B100,'Dev Acc 2000'!$D$4:$O$191,11,FALSE))-LN('Dev Acc 2000'!$N$150)</f>
        <v>#N/A</v>
      </c>
      <c r="L100" t="e">
        <f t="shared" si="11"/>
        <v>#N/A</v>
      </c>
      <c r="M100" t="e">
        <f>VLOOKUP(A100,'Country FEs'!$A$3:$H$173,3)-US_avg_adoption_lag</f>
        <v>#N/A</v>
      </c>
      <c r="N100" t="e">
        <f t="shared" si="12"/>
        <v>#N/A</v>
      </c>
      <c r="O100" t="e">
        <f t="shared" si="13"/>
        <v>#N/A</v>
      </c>
      <c r="P100" t="e">
        <f t="shared" si="14"/>
        <v>#N/A</v>
      </c>
      <c r="Q100" t="e">
        <f t="shared" si="15"/>
        <v>#N/A</v>
      </c>
      <c r="R100" t="e">
        <f t="shared" si="16"/>
        <v>#N/A</v>
      </c>
      <c r="S100" t="e">
        <f t="shared" si="17"/>
        <v>#N/A</v>
      </c>
    </row>
    <row r="101" spans="1:19">
      <c r="A101">
        <f>'List of countries'!A100</f>
        <v>101</v>
      </c>
      <c r="B101" t="str">
        <f>'List of countries'!B100</f>
        <v>MOR</v>
      </c>
      <c r="C101" t="str">
        <f>'List of countries'!C100</f>
        <v>Morocco</v>
      </c>
      <c r="D101" t="str">
        <f>'List of countries'!D100</f>
        <v>other</v>
      </c>
      <c r="E101">
        <f>'List of countries'!E100</f>
        <v>0</v>
      </c>
      <c r="F101" t="e">
        <f>-LN(VLOOKUP($B101,'Klenow - RC'!$B$2:$F$93,2,FALSE))</f>
        <v>#N/A</v>
      </c>
      <c r="G101" t="e">
        <f>LN(VLOOKUP($B101,'Klenow - RC'!$B$2:$F$93,5,FALSE))</f>
        <v>#N/A</v>
      </c>
      <c r="H101" t="e">
        <f t="shared" si="9"/>
        <v>#N/A</v>
      </c>
      <c r="I101">
        <f>-LN(VLOOKUP($B101,'Dev Acc 2000'!$D$4:$O$191,4,FALSE))+LN('Dev Acc 2000'!$G$150)</f>
        <v>2.2232874261541529</v>
      </c>
      <c r="J101">
        <f t="shared" si="10"/>
        <v>-2.2232874261541529</v>
      </c>
      <c r="K101">
        <f>LN(VLOOKUP($B101,'Dev Acc 2000'!$D$4:$O$191,11,FALSE))-LN('Dev Acc 2000'!$N$150)</f>
        <v>-1.2227860235121515</v>
      </c>
      <c r="L101">
        <f t="shared" si="11"/>
        <v>0.29440879345165727</v>
      </c>
      <c r="M101">
        <f>VLOOKUP(A101,'Country FEs'!$A$3:$H$173,3)-US_avg_adoption_lag</f>
        <v>33.119700000000002</v>
      </c>
      <c r="N101">
        <f t="shared" si="12"/>
        <v>-0.46367580000000003</v>
      </c>
      <c r="O101">
        <f t="shared" si="13"/>
        <v>0.62896743265832566</v>
      </c>
      <c r="P101">
        <f t="shared" si="14"/>
        <v>-0.66239400000000004</v>
      </c>
      <c r="Q101" t="e">
        <f t="shared" si="15"/>
        <v>#N/A</v>
      </c>
      <c r="R101">
        <f t="shared" si="16"/>
        <v>-0.45425452198879934</v>
      </c>
      <c r="S101">
        <f t="shared" si="17"/>
        <v>-0.71380841819175811</v>
      </c>
    </row>
    <row r="102" spans="1:19">
      <c r="A102">
        <f>'List of countries'!A101</f>
        <v>102</v>
      </c>
      <c r="B102" t="str">
        <f>'List of countries'!B101</f>
        <v>MOZ</v>
      </c>
      <c r="C102" t="str">
        <f>'List of countries'!C101</f>
        <v>Mozambique</v>
      </c>
      <c r="D102" t="str">
        <f>'List of countries'!D101</f>
        <v>SubSaharan</v>
      </c>
      <c r="E102">
        <f>'List of countries'!E101</f>
        <v>0</v>
      </c>
      <c r="F102">
        <f>-LN(VLOOKUP($B102,'Klenow - RC'!$B$2:$F$93,2,FALSE))</f>
        <v>3.2188758248682006</v>
      </c>
      <c r="G102">
        <f>LN(VLOOKUP($B102,'Klenow - RC'!$B$2:$F$93,5,FALSE))</f>
        <v>-1.5141277326297755</v>
      </c>
      <c r="H102">
        <f t="shared" si="9"/>
        <v>0.22</v>
      </c>
      <c r="I102">
        <f>-LN(VLOOKUP($B102,'Dev Acc 2000'!$D$4:$O$191,4,FALSE))+LN('Dev Acc 2000'!$G$150)</f>
        <v>3.4479336637335862</v>
      </c>
      <c r="J102">
        <f t="shared" si="10"/>
        <v>-3.4479336637335862</v>
      </c>
      <c r="K102">
        <f>LN(VLOOKUP($B102,'Dev Acc 2000'!$D$4:$O$191,11,FALSE))-LN('Dev Acc 2000'!$N$150)</f>
        <v>-1.3801290142693574</v>
      </c>
      <c r="L102">
        <f t="shared" si="11"/>
        <v>0.25154609793017996</v>
      </c>
      <c r="M102">
        <f>VLOOKUP(A102,'Country FEs'!$A$3:$H$173,3)-US_avg_adoption_lag</f>
        <v>59.531880000000001</v>
      </c>
      <c r="N102">
        <f t="shared" si="12"/>
        <v>-0.83344632000000007</v>
      </c>
      <c r="O102">
        <f t="shared" si="13"/>
        <v>0.43454910747809272</v>
      </c>
      <c r="P102">
        <f t="shared" si="14"/>
        <v>-1.1906376000000001</v>
      </c>
      <c r="Q102">
        <f t="shared" si="15"/>
        <v>-0.54213276550257694</v>
      </c>
      <c r="R102">
        <f t="shared" si="16"/>
        <v>-0.47430275125783594</v>
      </c>
      <c r="S102">
        <f t="shared" si="17"/>
        <v>-0.90305878138540141</v>
      </c>
    </row>
    <row r="103" spans="1:19">
      <c r="A103">
        <f>'List of countries'!A102</f>
        <v>103</v>
      </c>
      <c r="B103" t="str">
        <f>'List of countries'!B102</f>
        <v>MYA</v>
      </c>
      <c r="C103" t="str">
        <f>'List of countries'!C102</f>
        <v>Burma</v>
      </c>
      <c r="D103" t="str">
        <f>'List of countries'!D102</f>
        <v>other</v>
      </c>
      <c r="E103">
        <f>'List of countries'!E102</f>
        <v>0</v>
      </c>
      <c r="F103">
        <f>-LN(VLOOKUP($B103,'Klenow - RC'!$B$2:$F$93,2,FALSE))</f>
        <v>3.2188758248682006</v>
      </c>
      <c r="G103">
        <f>LN(VLOOKUP($B103,'Klenow - RC'!$B$2:$F$93,5,FALSE))</f>
        <v>-1.9661128563728327</v>
      </c>
      <c r="H103">
        <f t="shared" si="9"/>
        <v>0.14000000000000001</v>
      </c>
      <c r="I103" t="e">
        <f>-LN(VLOOKUP($B103,'Dev Acc 2000'!$D$4:$O$191,4,FALSE))+LN('Dev Acc 2000'!$G$150)</f>
        <v>#N/A</v>
      </c>
      <c r="J103" t="e">
        <f t="shared" si="10"/>
        <v>#N/A</v>
      </c>
      <c r="K103" t="e">
        <f>LN(VLOOKUP($B103,'Dev Acc 2000'!$D$4:$O$191,11,FALSE))-LN('Dev Acc 2000'!$N$150)</f>
        <v>#N/A</v>
      </c>
      <c r="L103" t="e">
        <f t="shared" si="11"/>
        <v>#N/A</v>
      </c>
      <c r="M103" t="e">
        <f>VLOOKUP(A103,'Country FEs'!$A$3:$H$173,3)-US_avg_adoption_lag</f>
        <v>#N/A</v>
      </c>
      <c r="N103" t="e">
        <f t="shared" si="12"/>
        <v>#N/A</v>
      </c>
      <c r="O103" t="e">
        <f t="shared" si="13"/>
        <v>#N/A</v>
      </c>
      <c r="P103" t="e">
        <f t="shared" si="14"/>
        <v>#N/A</v>
      </c>
      <c r="Q103">
        <f t="shared" si="15"/>
        <v>-0.61045950238203162</v>
      </c>
      <c r="R103" t="e">
        <f t="shared" si="16"/>
        <v>#N/A</v>
      </c>
      <c r="S103" t="e">
        <f t="shared" si="17"/>
        <v>#N/A</v>
      </c>
    </row>
    <row r="104" spans="1:19">
      <c r="A104">
        <f>'List of countries'!A103</f>
        <v>104</v>
      </c>
      <c r="B104" t="str">
        <f>'List of countries'!B103</f>
        <v>NAM</v>
      </c>
      <c r="C104" t="str">
        <f>'List of countries'!C103</f>
        <v>Namibia</v>
      </c>
      <c r="D104" t="str">
        <f>'List of countries'!D103</f>
        <v>SubSaharan</v>
      </c>
      <c r="E104">
        <f>'List of countries'!E103</f>
        <v>0</v>
      </c>
      <c r="F104" t="e">
        <f>-LN(VLOOKUP($B104,'Klenow - RC'!$B$2:$F$93,2,FALSE))</f>
        <v>#N/A</v>
      </c>
      <c r="G104" t="e">
        <f>LN(VLOOKUP($B104,'Klenow - RC'!$B$2:$F$93,5,FALSE))</f>
        <v>#N/A</v>
      </c>
      <c r="H104" t="e">
        <f t="shared" si="9"/>
        <v>#N/A</v>
      </c>
      <c r="I104">
        <f>-LN(VLOOKUP($B104,'Dev Acc 2000'!$D$4:$O$191,4,FALSE))+LN('Dev Acc 2000'!$G$150)</f>
        <v>1.8752684370459853</v>
      </c>
      <c r="J104">
        <f t="shared" si="10"/>
        <v>-1.8752684370459853</v>
      </c>
      <c r="K104">
        <f>LN(VLOOKUP($B104,'Dev Acc 2000'!$D$4:$O$191,11,FALSE))-LN('Dev Acc 2000'!$N$150)</f>
        <v>-0.57671282484674968</v>
      </c>
      <c r="L104">
        <f t="shared" si="11"/>
        <v>0.56174187887824711</v>
      </c>
      <c r="M104" t="e">
        <f>VLOOKUP(A104,'Country FEs'!$A$3:$H$173,3)-US_avg_adoption_lag</f>
        <v>#N/A</v>
      </c>
      <c r="N104" t="e">
        <f t="shared" si="12"/>
        <v>#N/A</v>
      </c>
      <c r="O104" t="e">
        <f t="shared" si="13"/>
        <v>#N/A</v>
      </c>
      <c r="P104" t="e">
        <f t="shared" si="14"/>
        <v>#N/A</v>
      </c>
      <c r="Q104" t="e">
        <f t="shared" si="15"/>
        <v>#N/A</v>
      </c>
      <c r="R104">
        <f t="shared" si="16"/>
        <v>-0.37193357747713163</v>
      </c>
      <c r="S104">
        <f t="shared" si="17"/>
        <v>-0.66002740122053394</v>
      </c>
    </row>
    <row r="105" spans="1:19">
      <c r="A105">
        <f>'List of countries'!A104</f>
        <v>105</v>
      </c>
      <c r="B105" t="str">
        <f>'List of countries'!B104</f>
        <v>NEP</v>
      </c>
      <c r="C105" t="str">
        <f>'List of countries'!C104</f>
        <v>Nepal</v>
      </c>
      <c r="D105" t="str">
        <f>'List of countries'!D104</f>
        <v>other</v>
      </c>
      <c r="E105">
        <f>'List of countries'!E104</f>
        <v>0</v>
      </c>
      <c r="F105">
        <f>-LN(VLOOKUP($B105,'Klenow - RC'!$B$2:$F$93,2,FALSE))</f>
        <v>2.6592600369327779</v>
      </c>
      <c r="G105">
        <f>LN(VLOOKUP($B105,'Klenow - RC'!$B$2:$F$93,5,FALSE))</f>
        <v>-1.3093333199837622</v>
      </c>
      <c r="H105">
        <f t="shared" si="9"/>
        <v>0.27</v>
      </c>
      <c r="I105">
        <f>-LN(VLOOKUP($B105,'Dev Acc 2000'!$D$4:$O$191,4,FALSE))+LN('Dev Acc 2000'!$G$150)</f>
        <v>3.185657030024128</v>
      </c>
      <c r="J105">
        <f t="shared" si="10"/>
        <v>-3.185657030024128</v>
      </c>
      <c r="K105">
        <f>LN(VLOOKUP($B105,'Dev Acc 2000'!$D$4:$O$191,11,FALSE))-LN('Dev Acc 2000'!$N$150)</f>
        <v>-1.8912746434494832</v>
      </c>
      <c r="L105">
        <f t="shared" si="11"/>
        <v>0.15087936881709602</v>
      </c>
      <c r="M105">
        <f>VLOOKUP(A105,'Country FEs'!$A$3:$H$173,3)-US_avg_adoption_lag</f>
        <v>47.379630000000006</v>
      </c>
      <c r="N105">
        <f t="shared" si="12"/>
        <v>-0.66331482000000008</v>
      </c>
      <c r="O105">
        <f t="shared" si="13"/>
        <v>0.51514090180552818</v>
      </c>
      <c r="P105">
        <f t="shared" si="14"/>
        <v>-0.94759260000000023</v>
      </c>
      <c r="Q105">
        <f t="shared" si="15"/>
        <v>-0.51117392811570472</v>
      </c>
      <c r="R105">
        <f t="shared" si="16"/>
        <v>-0.53943158041224049</v>
      </c>
      <c r="S105">
        <f t="shared" si="17"/>
        <v>-0.86252793528177174</v>
      </c>
    </row>
    <row r="106" spans="1:19">
      <c r="A106">
        <f>'List of countries'!A105</f>
        <v>106</v>
      </c>
      <c r="B106" t="str">
        <f>'List of countries'!B105</f>
        <v>NTH</v>
      </c>
      <c r="C106" t="str">
        <f>'List of countries'!C105</f>
        <v>Netherlands</v>
      </c>
      <c r="D106" t="str">
        <f>'List of countries'!D105</f>
        <v>OECD</v>
      </c>
      <c r="E106">
        <f>'List of countries'!E105</f>
        <v>0</v>
      </c>
      <c r="F106">
        <f>-LN(VLOOKUP($B106,'Klenow - RC'!$B$2:$F$93,2,FALSE))</f>
        <v>0.16251892949777494</v>
      </c>
      <c r="G106">
        <f>LN(VLOOKUP($B106,'Klenow - RC'!$B$2:$F$93,5,FALSE))</f>
        <v>-2.0202707317519466E-2</v>
      </c>
      <c r="H106">
        <f t="shared" si="9"/>
        <v>0.98</v>
      </c>
      <c r="I106">
        <f>-LN(VLOOKUP($B106,'Dev Acc 2000'!$D$4:$O$191,4,FALSE))+LN('Dev Acc 2000'!$G$150)</f>
        <v>0.26771808636579131</v>
      </c>
      <c r="J106">
        <f t="shared" si="10"/>
        <v>-0.26771808636579131</v>
      </c>
      <c r="K106">
        <f>LN(VLOOKUP($B106,'Dev Acc 2000'!$D$4:$O$191,11,FALSE))-LN('Dev Acc 2000'!$N$150)</f>
        <v>-0.28138181064250922</v>
      </c>
      <c r="L106">
        <f t="shared" si="11"/>
        <v>0.75474011265309848</v>
      </c>
      <c r="M106">
        <f>VLOOKUP(A106,'Country FEs'!$A$3:$H$173,3)-US_avg_adoption_lag</f>
        <v>5.1517199999999974</v>
      </c>
      <c r="N106">
        <f t="shared" si="12"/>
        <v>-7.2124079999999965E-2</v>
      </c>
      <c r="O106">
        <f t="shared" si="13"/>
        <v>0.93041544270051257</v>
      </c>
      <c r="P106">
        <f t="shared" si="14"/>
        <v>-0.10303439999999996</v>
      </c>
      <c r="Q106">
        <f t="shared" si="15"/>
        <v>-0.31629563777407588</v>
      </c>
      <c r="R106">
        <f t="shared" si="16"/>
        <v>-0.33430327787160208</v>
      </c>
      <c r="S106">
        <f t="shared" si="17"/>
        <v>-0.41160505819385029</v>
      </c>
    </row>
    <row r="107" spans="1:19">
      <c r="A107">
        <f>'List of countries'!A106</f>
        <v>107</v>
      </c>
      <c r="B107" t="str">
        <f>'List of countries'!B106</f>
        <v>NEW</v>
      </c>
      <c r="C107" t="str">
        <f>'List of countries'!C106</f>
        <v>New Zealand</v>
      </c>
      <c r="D107" t="str">
        <f>'List of countries'!D106</f>
        <v>OECD</v>
      </c>
      <c r="E107">
        <f>'List of countries'!E106</f>
        <v>0</v>
      </c>
      <c r="F107">
        <f>-LN(VLOOKUP($B107,'Klenow - RC'!$B$2:$F$93,2,FALSE))</f>
        <v>0.26136476413440751</v>
      </c>
      <c r="G107">
        <f>LN(VLOOKUP($B107,'Klenow - RC'!$B$2:$F$93,5,FALSE))</f>
        <v>-0.38566248081198462</v>
      </c>
      <c r="H107">
        <f t="shared" si="9"/>
        <v>0.68</v>
      </c>
      <c r="I107">
        <f>-LN(VLOOKUP($B107,'Dev Acc 2000'!$D$4:$O$191,4,FALSE))+LN('Dev Acc 2000'!$G$150)</f>
        <v>0.52036639380594352</v>
      </c>
      <c r="J107">
        <f t="shared" si="10"/>
        <v>-0.52036639380594352</v>
      </c>
      <c r="K107">
        <f>LN(VLOOKUP($B107,'Dev Acc 2000'!$D$4:$O$191,11,FALSE))-LN('Dev Acc 2000'!$N$150)</f>
        <v>-0.59289005143414464</v>
      </c>
      <c r="L107">
        <f t="shared" si="11"/>
        <v>0.55272756312260296</v>
      </c>
      <c r="M107">
        <f>VLOOKUP(A107,'Country FEs'!$A$3:$H$173,3)-US_avg_adoption_lag</f>
        <v>19.376950000000001</v>
      </c>
      <c r="N107">
        <f t="shared" si="12"/>
        <v>-0.2712773</v>
      </c>
      <c r="O107">
        <f t="shared" si="13"/>
        <v>0.76240505216871057</v>
      </c>
      <c r="P107">
        <f t="shared" si="14"/>
        <v>-0.38753900000000002</v>
      </c>
      <c r="Q107">
        <f t="shared" si="15"/>
        <v>-0.37154230956006296</v>
      </c>
      <c r="R107">
        <f t="shared" si="16"/>
        <v>-0.37399483706041808</v>
      </c>
      <c r="S107">
        <f t="shared" si="17"/>
        <v>-0.45064799359519048</v>
      </c>
    </row>
    <row r="108" spans="1:19">
      <c r="A108">
        <f>'List of countries'!A107</f>
        <v>108</v>
      </c>
      <c r="B108" t="str">
        <f>'List of countries'!B107</f>
        <v>NIC</v>
      </c>
      <c r="C108" t="str">
        <f>'List of countries'!C107</f>
        <v>Nicaragua</v>
      </c>
      <c r="D108" t="str">
        <f>'List of countries'!D107</f>
        <v>Latin</v>
      </c>
      <c r="E108">
        <f>'List of countries'!E107</f>
        <v>0</v>
      </c>
      <c r="F108">
        <f>-LN(VLOOKUP($B108,'Klenow - RC'!$B$2:$F$93,2,FALSE))</f>
        <v>1.7719568419318752</v>
      </c>
      <c r="G108">
        <f>LN(VLOOKUP($B108,'Klenow - RC'!$B$2:$F$93,5,FALSE))</f>
        <v>-0.75502258427803282</v>
      </c>
      <c r="H108">
        <f t="shared" si="9"/>
        <v>0.47</v>
      </c>
      <c r="I108">
        <f>-LN(VLOOKUP($B108,'Dev Acc 2000'!$D$4:$O$191,4,FALSE))+LN('Dev Acc 2000'!$G$150)</f>
        <v>2.3021774541366256</v>
      </c>
      <c r="J108">
        <f t="shared" si="10"/>
        <v>-2.3021774541366256</v>
      </c>
      <c r="K108">
        <f>LN(VLOOKUP($B108,'Dev Acc 2000'!$D$4:$O$191,11,FALSE))-LN('Dev Acc 2000'!$N$150)</f>
        <v>-1.2113059724397672</v>
      </c>
      <c r="L108">
        <f t="shared" si="11"/>
        <v>0.29780809618794712</v>
      </c>
      <c r="M108">
        <f>VLOOKUP(A108,'Country FEs'!$A$3:$H$173,3)-US_avg_adoption_lag</f>
        <v>20.986790000000006</v>
      </c>
      <c r="N108">
        <f t="shared" si="12"/>
        <v>-0.29381506000000007</v>
      </c>
      <c r="O108">
        <f t="shared" si="13"/>
        <v>0.74541433562367454</v>
      </c>
      <c r="P108">
        <f t="shared" si="14"/>
        <v>-0.4197358000000001</v>
      </c>
      <c r="Q108">
        <f t="shared" si="15"/>
        <v>-0.42737859548534829</v>
      </c>
      <c r="R108">
        <f t="shared" si="16"/>
        <v>-0.45279176413214617</v>
      </c>
      <c r="S108">
        <f t="shared" si="17"/>
        <v>-0.72599966656202164</v>
      </c>
    </row>
    <row r="109" spans="1:19">
      <c r="A109">
        <f>'List of countries'!A108</f>
        <v>109</v>
      </c>
      <c r="B109" t="str">
        <f>'List of countries'!B108</f>
        <v>NIG</v>
      </c>
      <c r="C109" t="str">
        <f>'List of countries'!C108</f>
        <v>Niger</v>
      </c>
      <c r="D109" t="str">
        <f>'List of countries'!D108</f>
        <v>SubSaharan</v>
      </c>
      <c r="E109">
        <f>'List of countries'!E108</f>
        <v>0</v>
      </c>
      <c r="F109">
        <f>-LN(VLOOKUP($B109,'Klenow - RC'!$B$2:$F$93,2,FALSE))</f>
        <v>3.5065578973199818</v>
      </c>
      <c r="G109">
        <f>LN(VLOOKUP($B109,'Klenow - RC'!$B$2:$F$93,5,FALSE))</f>
        <v>-2.3025850929940455</v>
      </c>
      <c r="H109">
        <f t="shared" si="9"/>
        <v>0.10000000000000002</v>
      </c>
      <c r="I109">
        <f>-LN(VLOOKUP($B109,'Dev Acc 2000'!$D$4:$O$191,4,FALSE))+LN('Dev Acc 2000'!$G$150)</f>
        <v>3.750892736302041</v>
      </c>
      <c r="J109">
        <f t="shared" si="10"/>
        <v>-3.750892736302041</v>
      </c>
      <c r="K109">
        <f>LN(VLOOKUP($B109,'Dev Acc 2000'!$D$4:$O$191,11,FALSE))-LN('Dev Acc 2000'!$N$150)</f>
        <v>-1.9206668075237054</v>
      </c>
      <c r="L109">
        <f t="shared" si="11"/>
        <v>0.14650923609082425</v>
      </c>
      <c r="M109" t="e">
        <f>VLOOKUP(A109,'Country FEs'!$A$3:$H$173,3)-US_avg_adoption_lag</f>
        <v>#N/A</v>
      </c>
      <c r="N109" t="e">
        <f t="shared" si="12"/>
        <v>#N/A</v>
      </c>
      <c r="O109" t="e">
        <f t="shared" si="13"/>
        <v>#N/A</v>
      </c>
      <c r="P109" t="e">
        <f t="shared" si="14"/>
        <v>#N/A</v>
      </c>
      <c r="Q109">
        <f t="shared" si="15"/>
        <v>-0.66132411887310116</v>
      </c>
      <c r="R109">
        <f t="shared" si="16"/>
        <v>-0.54317665250752334</v>
      </c>
      <c r="S109">
        <f t="shared" si="17"/>
        <v>-0.94987647677939113</v>
      </c>
    </row>
    <row r="110" spans="1:19">
      <c r="A110">
        <f>'List of countries'!A109</f>
        <v>110</v>
      </c>
      <c r="B110" t="str">
        <f>'List of countries'!B109</f>
        <v>NGA</v>
      </c>
      <c r="C110" t="str">
        <f>'List of countries'!C109</f>
        <v>Nigeria</v>
      </c>
      <c r="D110" t="str">
        <f>'List of countries'!D109</f>
        <v>SubSaharan</v>
      </c>
      <c r="E110">
        <f>'List of countries'!E109</f>
        <v>0</v>
      </c>
      <c r="F110" t="e">
        <f>-LN(VLOOKUP($B110,'Klenow - RC'!$B$2:$F$93,2,FALSE))</f>
        <v>#N/A</v>
      </c>
      <c r="G110" t="e">
        <f>LN(VLOOKUP($B110,'Klenow - RC'!$B$2:$F$93,5,FALSE))</f>
        <v>#N/A</v>
      </c>
      <c r="H110" t="e">
        <f t="shared" si="9"/>
        <v>#N/A</v>
      </c>
      <c r="I110">
        <f>-LN(VLOOKUP($B110,'Dev Acc 2000'!$D$4:$O$191,4,FALSE))+LN('Dev Acc 2000'!$G$150)</f>
        <v>3.465698879469195</v>
      </c>
      <c r="J110">
        <f t="shared" si="10"/>
        <v>-3.465698879469195</v>
      </c>
      <c r="K110">
        <f>LN(VLOOKUP($B110,'Dev Acc 2000'!$D$4:$O$191,11,FALSE))-LN('Dev Acc 2000'!$N$150)</f>
        <v>-1.4155764606810095</v>
      </c>
      <c r="L110">
        <f t="shared" si="11"/>
        <v>0.2427856167393552</v>
      </c>
      <c r="M110">
        <f>VLOOKUP(A110,'Country FEs'!$A$3:$H$173,3)-US_avg_adoption_lag</f>
        <v>46.060500000000005</v>
      </c>
      <c r="N110">
        <f t="shared" si="12"/>
        <v>-0.64484700000000006</v>
      </c>
      <c r="O110">
        <f t="shared" si="13"/>
        <v>0.52474282161676111</v>
      </c>
      <c r="P110">
        <f t="shared" si="14"/>
        <v>-0.9212100000000002</v>
      </c>
      <c r="Q110" t="e">
        <f t="shared" si="15"/>
        <v>#N/A</v>
      </c>
      <c r="R110">
        <f t="shared" si="16"/>
        <v>-0.47881937147232839</v>
      </c>
      <c r="S110">
        <f t="shared" si="17"/>
        <v>-0.90580412402151056</v>
      </c>
    </row>
    <row r="111" spans="1:19">
      <c r="A111">
        <f>'List of countries'!A110</f>
        <v>111</v>
      </c>
      <c r="B111" t="str">
        <f>'List of countries'!B110</f>
        <v>NOR</v>
      </c>
      <c r="C111" t="str">
        <f>'List of countries'!C110</f>
        <v>Norway</v>
      </c>
      <c r="D111" t="str">
        <f>'List of countries'!D110</f>
        <v>OECD</v>
      </c>
      <c r="E111">
        <f>'List of countries'!E110</f>
        <v>0</v>
      </c>
      <c r="F111">
        <f>-LN(VLOOKUP($B111,'Klenow - RC'!$B$2:$F$93,2,FALSE))</f>
        <v>0.16251892949777494</v>
      </c>
      <c r="G111">
        <f>LN(VLOOKUP($B111,'Klenow - RC'!$B$2:$F$93,5,FALSE))</f>
        <v>-0.23572233352106983</v>
      </c>
      <c r="H111">
        <f t="shared" si="9"/>
        <v>0.79</v>
      </c>
      <c r="I111">
        <f>-LN(VLOOKUP($B111,'Dev Acc 2000'!$D$4:$O$191,4,FALSE))+LN('Dev Acc 2000'!$G$150)</f>
        <v>3.7727839810465014E-2</v>
      </c>
      <c r="J111">
        <f t="shared" si="10"/>
        <v>-3.7727839810465014E-2</v>
      </c>
      <c r="K111">
        <f>LN(VLOOKUP($B111,'Dev Acc 2000'!$D$4:$O$191,11,FALSE))-LN('Dev Acc 2000'!$N$150)</f>
        <v>-0.19185746370986223</v>
      </c>
      <c r="L111">
        <f t="shared" si="11"/>
        <v>0.82542451305505304</v>
      </c>
      <c r="M111">
        <f>VLOOKUP(A111,'Country FEs'!$A$3:$H$173,3)-US_avg_adoption_lag</f>
        <v>2.2868800000000107</v>
      </c>
      <c r="N111">
        <f t="shared" si="12"/>
        <v>-3.2016320000000154E-2</v>
      </c>
      <c r="O111">
        <f t="shared" si="13"/>
        <v>0.96849077618075441</v>
      </c>
      <c r="P111">
        <f t="shared" si="14"/>
        <v>-4.5737600000000225E-2</v>
      </c>
      <c r="Q111">
        <f t="shared" si="15"/>
        <v>-0.34887580915232608</v>
      </c>
      <c r="R111">
        <f t="shared" si="16"/>
        <v>-0.32289632149032915</v>
      </c>
      <c r="S111">
        <f t="shared" si="17"/>
        <v>-0.37606357988283895</v>
      </c>
    </row>
    <row r="112" spans="1:19">
      <c r="A112">
        <f>'List of countries'!A111</f>
        <v>112</v>
      </c>
      <c r="B112" t="str">
        <f>'List of countries'!B111</f>
        <v>OMA</v>
      </c>
      <c r="C112" t="str">
        <f>'List of countries'!C111</f>
        <v>Oman</v>
      </c>
      <c r="D112" t="str">
        <f>'List of countries'!D111</f>
        <v>other</v>
      </c>
      <c r="E112">
        <f>'List of countries'!E111</f>
        <v>0</v>
      </c>
      <c r="F112" t="e">
        <f>-LN(VLOOKUP($B112,'Klenow - RC'!$B$2:$F$93,2,FALSE))</f>
        <v>#N/A</v>
      </c>
      <c r="G112" t="e">
        <f>LN(VLOOKUP($B112,'Klenow - RC'!$B$2:$F$93,5,FALSE))</f>
        <v>#N/A</v>
      </c>
      <c r="H112" t="e">
        <f t="shared" si="9"/>
        <v>#N/A</v>
      </c>
      <c r="I112">
        <f>-LN(VLOOKUP($B112,'Dev Acc 2000'!$D$4:$O$191,4,FALSE))+LN('Dev Acc 2000'!$G$150)</f>
        <v>0.75243379141602063</v>
      </c>
      <c r="J112">
        <f t="shared" si="10"/>
        <v>-0.75243379141602063</v>
      </c>
      <c r="K112">
        <f>LN(VLOOKUP($B112,'Dev Acc 2000'!$D$4:$O$191,11,FALSE))-LN('Dev Acc 2000'!$N$150)</f>
        <v>0.84614729361930152</v>
      </c>
      <c r="L112">
        <f t="shared" si="11"/>
        <v>2.3306502213872746</v>
      </c>
      <c r="M112">
        <f>VLOOKUP(A112,'Country FEs'!$A$3:$H$173,3)-US_avg_adoption_lag</f>
        <v>39.625650000000007</v>
      </c>
      <c r="N112">
        <f t="shared" si="12"/>
        <v>-0.55475910000000006</v>
      </c>
      <c r="O112">
        <f t="shared" si="13"/>
        <v>0.57421057186300917</v>
      </c>
      <c r="P112">
        <f t="shared" si="14"/>
        <v>-0.79251300000000013</v>
      </c>
      <c r="Q112" t="e">
        <f t="shared" si="15"/>
        <v>#N/A</v>
      </c>
      <c r="R112">
        <f t="shared" si="16"/>
        <v>-0.19063649054941567</v>
      </c>
      <c r="S112">
        <f t="shared" si="17"/>
        <v>-0.48651046386245578</v>
      </c>
    </row>
    <row r="113" spans="1:19">
      <c r="A113">
        <f>'List of countries'!A112</f>
        <v>114</v>
      </c>
      <c r="B113" t="str">
        <f>'List of countries'!B112</f>
        <v>PAK</v>
      </c>
      <c r="C113" t="str">
        <f>'List of countries'!C112</f>
        <v>Pakistan</v>
      </c>
      <c r="D113" t="str">
        <f>'List of countries'!D112</f>
        <v>other</v>
      </c>
      <c r="E113">
        <f>'List of countries'!E112</f>
        <v>0</v>
      </c>
      <c r="F113">
        <f>-LN(VLOOKUP($B113,'Klenow - RC'!$B$2:$F$93,2,FALSE))</f>
        <v>2.0402208285265546</v>
      </c>
      <c r="G113">
        <f>LN(VLOOKUP($B113,'Klenow - RC'!$B$2:$F$93,5,FALSE))</f>
        <v>-0.916290731874155</v>
      </c>
      <c r="H113">
        <f t="shared" si="9"/>
        <v>0.4</v>
      </c>
      <c r="I113">
        <f>-LN(VLOOKUP($B113,'Dev Acc 2000'!$D$4:$O$191,4,FALSE))+LN('Dev Acc 2000'!$G$150)</f>
        <v>2.6299240189345401</v>
      </c>
      <c r="J113">
        <f t="shared" si="10"/>
        <v>-2.6299240189345401</v>
      </c>
      <c r="K113">
        <f>LN(VLOOKUP($B113,'Dev Acc 2000'!$D$4:$O$191,11,FALSE))-LN('Dev Acc 2000'!$N$150)</f>
        <v>-1.2796517734812483</v>
      </c>
      <c r="L113">
        <f t="shared" si="11"/>
        <v>0.27813413727401004</v>
      </c>
      <c r="M113" t="e">
        <f>VLOOKUP(A113,'Country FEs'!$A$3:$H$173,3)-US_avg_adoption_lag</f>
        <v>#N/A</v>
      </c>
      <c r="N113" t="e">
        <f t="shared" si="12"/>
        <v>#N/A</v>
      </c>
      <c r="O113" t="e">
        <f t="shared" si="13"/>
        <v>#N/A</v>
      </c>
      <c r="P113" t="e">
        <f t="shared" si="14"/>
        <v>#N/A</v>
      </c>
      <c r="Q113">
        <f t="shared" si="15"/>
        <v>-0.45175755335145118</v>
      </c>
      <c r="R113">
        <f t="shared" si="16"/>
        <v>-0.46150020600338237</v>
      </c>
      <c r="S113">
        <f t="shared" si="17"/>
        <v>-0.77664789012254287</v>
      </c>
    </row>
    <row r="114" spans="1:19">
      <c r="A114">
        <f>'List of countries'!A113</f>
        <v>115</v>
      </c>
      <c r="B114" t="str">
        <f>'List of countries'!B113</f>
        <v>PAN</v>
      </c>
      <c r="C114" t="str">
        <f>'List of countries'!C113</f>
        <v>Panama</v>
      </c>
      <c r="D114" t="str">
        <f>'List of countries'!D113</f>
        <v>Latin</v>
      </c>
      <c r="E114">
        <f>'List of countries'!E113</f>
        <v>0</v>
      </c>
      <c r="F114">
        <f>-LN(VLOOKUP($B114,'Klenow - RC'!$B$2:$F$93,2,FALSE))</f>
        <v>1.2039728043259361</v>
      </c>
      <c r="G114">
        <f>LN(VLOOKUP($B114,'Klenow - RC'!$B$2:$F$93,5,FALSE))</f>
        <v>-0.51082562376599072</v>
      </c>
      <c r="H114">
        <f t="shared" si="9"/>
        <v>0.6</v>
      </c>
      <c r="I114">
        <f>-LN(VLOOKUP($B114,'Dev Acc 2000'!$D$4:$O$191,4,FALSE))+LN('Dev Acc 2000'!$G$150)</f>
        <v>1.465766105517508</v>
      </c>
      <c r="J114">
        <f t="shared" si="10"/>
        <v>-1.465766105517508</v>
      </c>
      <c r="K114">
        <f>LN(VLOOKUP($B114,'Dev Acc 2000'!$D$4:$O$191,11,FALSE))-LN('Dev Acc 2000'!$N$150)</f>
        <v>-1.1643015126627407</v>
      </c>
      <c r="L114">
        <f t="shared" si="11"/>
        <v>0.31214061217112549</v>
      </c>
      <c r="M114">
        <f>VLOOKUP(A114,'Country FEs'!$A$3:$H$173,3)-US_avg_adoption_lag</f>
        <v>40.819200000000002</v>
      </c>
      <c r="N114">
        <f t="shared" si="12"/>
        <v>-0.5714688</v>
      </c>
      <c r="O114">
        <f t="shared" si="13"/>
        <v>0.56469540466139723</v>
      </c>
      <c r="P114">
        <f t="shared" si="14"/>
        <v>-0.816384</v>
      </c>
      <c r="Q114">
        <f t="shared" si="15"/>
        <v>-0.39046326223390704</v>
      </c>
      <c r="R114">
        <f t="shared" si="16"/>
        <v>-0.44680257972843052</v>
      </c>
      <c r="S114">
        <f t="shared" si="17"/>
        <v>-0.59674507315525749</v>
      </c>
    </row>
    <row r="115" spans="1:19">
      <c r="A115">
        <f>'List of countries'!A114</f>
        <v>116</v>
      </c>
      <c r="B115" t="str">
        <f>'List of countries'!B114</f>
        <v>PNG</v>
      </c>
      <c r="C115" t="str">
        <f>'List of countries'!C114</f>
        <v>Papua New Guinea</v>
      </c>
      <c r="D115" t="str">
        <f>'List of countries'!D114</f>
        <v>other</v>
      </c>
      <c r="E115">
        <f>'List of countries'!E114</f>
        <v>0</v>
      </c>
      <c r="F115">
        <f>-LN(VLOOKUP($B115,'Klenow - RC'!$B$2:$F$93,2,FALSE))</f>
        <v>2.3025850929940455</v>
      </c>
      <c r="G115">
        <f>LN(VLOOKUP($B115,'Klenow - RC'!$B$2:$F$93,5,FALSE))</f>
        <v>-1.4696759700589417</v>
      </c>
      <c r="H115">
        <f t="shared" si="9"/>
        <v>0.23</v>
      </c>
      <c r="I115">
        <f>-LN(VLOOKUP($B115,'Dev Acc 2000'!$D$4:$O$191,4,FALSE))+LN('Dev Acc 2000'!$G$150)</f>
        <v>2.0657966718538852</v>
      </c>
      <c r="J115">
        <f t="shared" si="10"/>
        <v>-2.0657966718538852</v>
      </c>
      <c r="K115">
        <f>LN(VLOOKUP($B115,'Dev Acc 2000'!$D$4:$O$191,11,FALSE))-LN('Dev Acc 2000'!$N$150)</f>
        <v>-0.60534357670613481</v>
      </c>
      <c r="L115">
        <f t="shared" si="11"/>
        <v>0.54588684041387414</v>
      </c>
      <c r="M115" t="e">
        <f>VLOOKUP(A115,'Country FEs'!$A$3:$H$173,3)-US_avg_adoption_lag</f>
        <v>#N/A</v>
      </c>
      <c r="N115" t="e">
        <f t="shared" si="12"/>
        <v>#N/A</v>
      </c>
      <c r="O115" t="e">
        <f t="shared" si="13"/>
        <v>#N/A</v>
      </c>
      <c r="P115" t="e">
        <f t="shared" si="14"/>
        <v>#N/A</v>
      </c>
      <c r="Q115">
        <f t="shared" si="15"/>
        <v>-0.53541297822317979</v>
      </c>
      <c r="R115">
        <f t="shared" si="16"/>
        <v>-0.37558163243439102</v>
      </c>
      <c r="S115">
        <f t="shared" si="17"/>
        <v>-0.6894706286029233</v>
      </c>
    </row>
    <row r="116" spans="1:19">
      <c r="A116">
        <f>'List of countries'!A115</f>
        <v>117</v>
      </c>
      <c r="B116" t="str">
        <f>'List of countries'!B115</f>
        <v>PRG</v>
      </c>
      <c r="C116" t="str">
        <f>'List of countries'!C115</f>
        <v>Paraguay</v>
      </c>
      <c r="D116" t="str">
        <f>'List of countries'!D115</f>
        <v>Latin</v>
      </c>
      <c r="E116">
        <f>'List of countries'!E115</f>
        <v>0</v>
      </c>
      <c r="F116">
        <f>-LN(VLOOKUP($B116,'Klenow - RC'!$B$2:$F$93,2,FALSE))</f>
        <v>1.7147984280919266</v>
      </c>
      <c r="G116">
        <f>LN(VLOOKUP($B116,'Klenow - RC'!$B$2:$F$93,5,FALSE))</f>
        <v>-0.69314718055994529</v>
      </c>
      <c r="H116">
        <f t="shared" si="9"/>
        <v>0.5</v>
      </c>
      <c r="I116">
        <f>-LN(VLOOKUP($B116,'Dev Acc 2000'!$D$4:$O$191,4,FALSE))+LN('Dev Acc 2000'!$G$150)</f>
        <v>1.9345274637209364</v>
      </c>
      <c r="J116">
        <f t="shared" si="10"/>
        <v>-1.9345274637209364</v>
      </c>
      <c r="K116">
        <f>LN(VLOOKUP($B116,'Dev Acc 2000'!$D$4:$O$191,11,FALSE))-LN('Dev Acc 2000'!$N$150)</f>
        <v>-1.0702146789019427</v>
      </c>
      <c r="L116">
        <f t="shared" si="11"/>
        <v>0.34293488863038674</v>
      </c>
      <c r="M116">
        <f>VLOOKUP(A116,'Country FEs'!$A$3:$H$173,3)-US_avg_adoption_lag</f>
        <v>37.356610000000003</v>
      </c>
      <c r="N116">
        <f t="shared" si="12"/>
        <v>-0.52299254000000006</v>
      </c>
      <c r="O116">
        <f t="shared" si="13"/>
        <v>0.59274408084976205</v>
      </c>
      <c r="P116">
        <f t="shared" si="14"/>
        <v>-0.74713220000000014</v>
      </c>
      <c r="Q116">
        <f t="shared" si="15"/>
        <v>-0.41802487075621503</v>
      </c>
      <c r="R116">
        <f t="shared" si="16"/>
        <v>-0.43481428329808686</v>
      </c>
      <c r="S116">
        <f t="shared" si="17"/>
        <v>-0.66918497830410284</v>
      </c>
    </row>
    <row r="117" spans="1:19">
      <c r="A117">
        <f>'List of countries'!A116</f>
        <v>118</v>
      </c>
      <c r="B117" t="str">
        <f>'List of countries'!B116</f>
        <v>PER</v>
      </c>
      <c r="C117" t="str">
        <f>'List of countries'!C116</f>
        <v>Peru</v>
      </c>
      <c r="D117" t="str">
        <f>'List of countries'!D116</f>
        <v>Latin</v>
      </c>
      <c r="E117">
        <f>'List of countries'!E116</f>
        <v>0</v>
      </c>
      <c r="F117">
        <f>-LN(VLOOKUP($B117,'Klenow - RC'!$B$2:$F$93,2,FALSE))</f>
        <v>1.4271163556401458</v>
      </c>
      <c r="G117">
        <f>LN(VLOOKUP($B117,'Klenow - RC'!$B$2:$F$93,5,FALSE))</f>
        <v>-0.75502258427803282</v>
      </c>
      <c r="H117">
        <f t="shared" si="9"/>
        <v>0.47</v>
      </c>
      <c r="I117">
        <f>-LN(VLOOKUP($B117,'Dev Acc 2000'!$D$4:$O$191,4,FALSE))+LN('Dev Acc 2000'!$G$150)</f>
        <v>2.1008685945618808</v>
      </c>
      <c r="J117">
        <f t="shared" si="10"/>
        <v>-2.1008685945618808</v>
      </c>
      <c r="K117">
        <f>LN(VLOOKUP($B117,'Dev Acc 2000'!$D$4:$O$191,11,FALSE))-LN('Dev Acc 2000'!$N$150)</f>
        <v>-1.7638952173917071</v>
      </c>
      <c r="L117">
        <f t="shared" si="11"/>
        <v>0.17137601517845699</v>
      </c>
      <c r="M117">
        <f>VLOOKUP(A117,'Country FEs'!$A$3:$H$173,3)-US_avg_adoption_lag</f>
        <v>20.628130000000006</v>
      </c>
      <c r="N117">
        <f t="shared" si="12"/>
        <v>-0.28879382000000009</v>
      </c>
      <c r="O117">
        <f t="shared" si="13"/>
        <v>0.7491666526605999</v>
      </c>
      <c r="P117">
        <f t="shared" si="14"/>
        <v>-0.41256260000000017</v>
      </c>
      <c r="Q117">
        <f t="shared" si="15"/>
        <v>-0.42737859548534829</v>
      </c>
      <c r="R117">
        <f t="shared" si="16"/>
        <v>-0.52320122960045756</v>
      </c>
      <c r="S117">
        <f t="shared" si="17"/>
        <v>-0.69489045835188534</v>
      </c>
    </row>
    <row r="118" spans="1:19">
      <c r="A118">
        <f>'List of countries'!A117</f>
        <v>119</v>
      </c>
      <c r="B118" t="str">
        <f>'List of countries'!B117</f>
        <v>PHI</v>
      </c>
      <c r="C118" t="str">
        <f>'List of countries'!C117</f>
        <v>Philippines</v>
      </c>
      <c r="D118" t="str">
        <f>'List of countries'!D117</f>
        <v>other</v>
      </c>
      <c r="E118">
        <f>'List of countries'!E117</f>
        <v>0</v>
      </c>
      <c r="F118">
        <f>-LN(VLOOKUP($B118,'Klenow - RC'!$B$2:$F$93,2,FALSE))</f>
        <v>2.0402208285265546</v>
      </c>
      <c r="G118">
        <f>LN(VLOOKUP($B118,'Klenow - RC'!$B$2:$F$93,5,FALSE))</f>
        <v>-1.3470736479666092</v>
      </c>
      <c r="H118">
        <f t="shared" si="9"/>
        <v>0.26</v>
      </c>
      <c r="I118">
        <f>-LN(VLOOKUP($B118,'Dev Acc 2000'!$D$4:$O$191,4,FALSE))+LN('Dev Acc 2000'!$G$150)</f>
        <v>2.1953047360884987</v>
      </c>
      <c r="J118">
        <f t="shared" si="10"/>
        <v>-2.1953047360884987</v>
      </c>
      <c r="K118">
        <f>LN(VLOOKUP($B118,'Dev Acc 2000'!$D$4:$O$191,11,FALSE))-LN('Dev Acc 2000'!$N$150)</f>
        <v>-1.7726861978818418</v>
      </c>
      <c r="L118">
        <f t="shared" si="11"/>
        <v>0.16987605469412334</v>
      </c>
      <c r="M118">
        <f>VLOOKUP(A118,'Country FEs'!$A$3:$H$173,3)-US_avg_adoption_lag</f>
        <v>25.241460000000004</v>
      </c>
      <c r="N118">
        <f t="shared" si="12"/>
        <v>-0.35338044000000007</v>
      </c>
      <c r="O118">
        <f t="shared" si="13"/>
        <v>0.70230995574695831</v>
      </c>
      <c r="P118">
        <f t="shared" si="14"/>
        <v>-0.50482920000000009</v>
      </c>
      <c r="Q118">
        <f t="shared" si="15"/>
        <v>-0.51687914566462179</v>
      </c>
      <c r="R118">
        <f t="shared" si="16"/>
        <v>-0.5243213531694686</v>
      </c>
      <c r="S118">
        <f t="shared" si="17"/>
        <v>-0.70948412102286507</v>
      </c>
    </row>
    <row r="119" spans="1:19">
      <c r="A119">
        <f>'List of countries'!A118</f>
        <v>120</v>
      </c>
      <c r="B119" t="str">
        <f>'List of countries'!B118</f>
        <v>POL</v>
      </c>
      <c r="C119" t="str">
        <f>'List of countries'!C118</f>
        <v>Poland</v>
      </c>
      <c r="D119" t="str">
        <f>'List of countries'!D118</f>
        <v>other</v>
      </c>
      <c r="E119">
        <f>'List of countries'!E118</f>
        <v>0</v>
      </c>
      <c r="F119" t="e">
        <f>-LN(VLOOKUP($B119,'Klenow - RC'!$B$2:$F$93,2,FALSE))</f>
        <v>#N/A</v>
      </c>
      <c r="G119" t="e">
        <f>LN(VLOOKUP($B119,'Klenow - RC'!$B$2:$F$93,5,FALSE))</f>
        <v>#N/A</v>
      </c>
      <c r="H119" t="e">
        <f t="shared" si="9"/>
        <v>#N/A</v>
      </c>
      <c r="I119">
        <f>-LN(VLOOKUP($B119,'Dev Acc 2000'!$D$4:$O$191,4,FALSE))+LN('Dev Acc 2000'!$G$150)</f>
        <v>1.3839830964717912</v>
      </c>
      <c r="J119">
        <f t="shared" si="10"/>
        <v>-1.3839830964717912</v>
      </c>
      <c r="K119">
        <f>LN(VLOOKUP($B119,'Dev Acc 2000'!$D$4:$O$191,11,FALSE))-LN('Dev Acc 2000'!$N$150)</f>
        <v>-1.4339155980575757</v>
      </c>
      <c r="L119">
        <f t="shared" si="11"/>
        <v>0.23837371683177694</v>
      </c>
      <c r="M119">
        <f>VLOOKUP(A119,'Country FEs'!$A$3:$H$173,3)-US_avg_adoption_lag</f>
        <v>27.511590000000005</v>
      </c>
      <c r="N119">
        <f t="shared" si="12"/>
        <v>-0.38516226000000009</v>
      </c>
      <c r="O119">
        <f t="shared" si="13"/>
        <v>0.68034023524142939</v>
      </c>
      <c r="P119">
        <f t="shared" si="14"/>
        <v>-0.55023180000000016</v>
      </c>
      <c r="Q119" t="e">
        <f t="shared" si="15"/>
        <v>#N/A</v>
      </c>
      <c r="R119">
        <f t="shared" si="16"/>
        <v>-0.48115609603153742</v>
      </c>
      <c r="S119">
        <f t="shared" si="17"/>
        <v>-0.58410675876696305</v>
      </c>
    </row>
    <row r="120" spans="1:19">
      <c r="A120">
        <f>'List of countries'!A119</f>
        <v>121</v>
      </c>
      <c r="B120" t="str">
        <f>'List of countries'!B119</f>
        <v>POR</v>
      </c>
      <c r="C120" t="str">
        <f>'List of countries'!C119</f>
        <v>Portugal</v>
      </c>
      <c r="D120" t="str">
        <f>'List of countries'!D119</f>
        <v>OECD</v>
      </c>
      <c r="E120">
        <f>'List of countries'!E119</f>
        <v>0</v>
      </c>
      <c r="F120">
        <f>-LN(VLOOKUP($B120,'Klenow - RC'!$B$2:$F$93,2,FALSE))</f>
        <v>1.0788096613719298</v>
      </c>
      <c r="G120">
        <f>LN(VLOOKUP($B120,'Klenow - RC'!$B$2:$F$93,5,FALSE))</f>
        <v>-0.51082562376599072</v>
      </c>
      <c r="H120">
        <f t="shared" si="9"/>
        <v>0.6</v>
      </c>
      <c r="I120">
        <f>-LN(VLOOKUP($B120,'Dev Acc 2000'!$D$4:$O$191,4,FALSE))+LN('Dev Acc 2000'!$G$150)</f>
        <v>0.68498091547535189</v>
      </c>
      <c r="J120">
        <f t="shared" si="10"/>
        <v>-0.68498091547535189</v>
      </c>
      <c r="K120">
        <f>LN(VLOOKUP($B120,'Dev Acc 2000'!$D$4:$O$191,11,FALSE))-LN('Dev Acc 2000'!$N$150)</f>
        <v>-0.33748129392624193</v>
      </c>
      <c r="L120">
        <f t="shared" si="11"/>
        <v>0.71356532258721439</v>
      </c>
      <c r="M120">
        <f>VLOOKUP(A120,'Country FEs'!$A$3:$H$173,3)-US_avg_adoption_lag</f>
        <v>26.796030000000002</v>
      </c>
      <c r="N120">
        <f t="shared" si="12"/>
        <v>-0.37514442000000003</v>
      </c>
      <c r="O120">
        <f t="shared" si="13"/>
        <v>0.68719002764042725</v>
      </c>
      <c r="P120">
        <f t="shared" si="14"/>
        <v>-0.53592060000000008</v>
      </c>
      <c r="Q120">
        <f t="shared" si="15"/>
        <v>-0.39046326223390704</v>
      </c>
      <c r="R120">
        <f t="shared" si="16"/>
        <v>-0.34145132620431917</v>
      </c>
      <c r="S120">
        <f t="shared" si="17"/>
        <v>-0.47608665257842414</v>
      </c>
    </row>
    <row r="121" spans="1:19">
      <c r="A121">
        <f>'List of countries'!A120</f>
        <v>122</v>
      </c>
      <c r="B121" t="str">
        <f>'List of countries'!B120</f>
        <v>ROM</v>
      </c>
      <c r="C121" t="str">
        <f>'List of countries'!C120</f>
        <v>Romania</v>
      </c>
      <c r="D121" t="str">
        <f>'List of countries'!D120</f>
        <v>other</v>
      </c>
      <c r="E121">
        <f>'List of countries'!E120</f>
        <v>0</v>
      </c>
      <c r="F121" t="e">
        <f>-LN(VLOOKUP($B121,'Klenow - RC'!$B$2:$F$93,2,FALSE))</f>
        <v>#N/A</v>
      </c>
      <c r="G121" t="e">
        <f>LN(VLOOKUP($B121,'Klenow - RC'!$B$2:$F$93,5,FALSE))</f>
        <v>#N/A</v>
      </c>
      <c r="H121" t="e">
        <f t="shared" si="9"/>
        <v>#N/A</v>
      </c>
      <c r="I121">
        <f>-LN(VLOOKUP($B121,'Dev Acc 2000'!$D$4:$O$191,4,FALSE))+LN('Dev Acc 2000'!$G$150)</f>
        <v>1.8862312639020615</v>
      </c>
      <c r="J121">
        <f t="shared" si="10"/>
        <v>-1.8862312639020615</v>
      </c>
      <c r="K121">
        <f>LN(VLOOKUP($B121,'Dev Acc 2000'!$D$4:$O$191,11,FALSE))-LN('Dev Acc 2000'!$N$150)</f>
        <v>-1.5328803205116266</v>
      </c>
      <c r="L121">
        <f t="shared" si="11"/>
        <v>0.21591287254678368</v>
      </c>
      <c r="M121">
        <f>VLOOKUP(A121,'Country FEs'!$A$3:$H$173,3)-US_avg_adoption_lag</f>
        <v>22.919220000000003</v>
      </c>
      <c r="N121">
        <f t="shared" si="12"/>
        <v>-0.32086908000000003</v>
      </c>
      <c r="O121">
        <f t="shared" si="13"/>
        <v>0.72551822961932622</v>
      </c>
      <c r="P121">
        <f t="shared" si="14"/>
        <v>-0.45838440000000008</v>
      </c>
      <c r="Q121" t="e">
        <f t="shared" si="15"/>
        <v>#N/A</v>
      </c>
      <c r="R121">
        <f t="shared" si="16"/>
        <v>-0.49376592018549015</v>
      </c>
      <c r="S121">
        <f t="shared" si="17"/>
        <v>-0.66172153859708949</v>
      </c>
    </row>
    <row r="122" spans="1:19">
      <c r="A122">
        <f>'List of countries'!A121</f>
        <v>123</v>
      </c>
      <c r="B122" t="str">
        <f>'List of countries'!B121</f>
        <v>RUS</v>
      </c>
      <c r="C122" t="str">
        <f>'List of countries'!C121</f>
        <v>Russia</v>
      </c>
      <c r="D122" t="str">
        <f>'List of countries'!D121</f>
        <v>other</v>
      </c>
      <c r="E122">
        <f>'List of countries'!E121</f>
        <v>0</v>
      </c>
      <c r="F122" t="e">
        <f>-LN(VLOOKUP($B122,'Klenow - RC'!$B$2:$F$93,2,FALSE))</f>
        <v>#N/A</v>
      </c>
      <c r="G122" t="e">
        <f>LN(VLOOKUP($B122,'Klenow - RC'!$B$2:$F$93,5,FALSE))</f>
        <v>#N/A</v>
      </c>
      <c r="H122" t="e">
        <f t="shared" si="9"/>
        <v>#N/A</v>
      </c>
      <c r="I122">
        <f>-LN(VLOOKUP($B122,'Dev Acc 2000'!$D$4:$O$191,4,FALSE))+LN('Dev Acc 2000'!$G$150)</f>
        <v>1.310946483938455</v>
      </c>
      <c r="J122">
        <f t="shared" si="10"/>
        <v>-1.310946483938455</v>
      </c>
      <c r="K122" t="e">
        <f>LN(VLOOKUP($B122,'Dev Acc 2000'!$D$4:$O$191,11,FALSE))-LN('Dev Acc 2000'!$N$150)</f>
        <v>#N/A</v>
      </c>
      <c r="L122" t="e">
        <f t="shared" si="11"/>
        <v>#N/A</v>
      </c>
      <c r="M122">
        <f>VLOOKUP(A122,'Country FEs'!$A$3:$H$173,3)-US_avg_adoption_lag</f>
        <v>27.465590000000006</v>
      </c>
      <c r="N122">
        <f t="shared" si="12"/>
        <v>-0.38451826000000011</v>
      </c>
      <c r="O122">
        <f t="shared" si="13"/>
        <v>0.68077851546400903</v>
      </c>
      <c r="P122">
        <f t="shared" si="14"/>
        <v>-0.54931180000000024</v>
      </c>
      <c r="Q122" t="e">
        <f t="shared" si="15"/>
        <v>#N/A</v>
      </c>
      <c r="R122" t="e">
        <f t="shared" si="16"/>
        <v>#N/A</v>
      </c>
      <c r="S122">
        <f t="shared" si="17"/>
        <v>-0.57282006631307736</v>
      </c>
    </row>
    <row r="123" spans="1:19">
      <c r="A123">
        <f>'List of countries'!A122</f>
        <v>124</v>
      </c>
      <c r="B123" t="str">
        <f>'List of countries'!B122</f>
        <v>RWA</v>
      </c>
      <c r="C123" t="str">
        <f>'List of countries'!C122</f>
        <v>Rwanda</v>
      </c>
      <c r="D123" t="str">
        <f>'List of countries'!D122</f>
        <v>SubSaharan</v>
      </c>
      <c r="E123">
        <f>'List of countries'!E122</f>
        <v>0</v>
      </c>
      <c r="F123">
        <f>-LN(VLOOKUP($B123,'Klenow - RC'!$B$2:$F$93,2,FALSE))</f>
        <v>2.9957322735539909</v>
      </c>
      <c r="G123">
        <f>LN(VLOOKUP($B123,'Klenow - RC'!$B$2:$F$93,5,FALSE))</f>
        <v>-1.4696759700589417</v>
      </c>
      <c r="H123">
        <f t="shared" si="9"/>
        <v>0.23</v>
      </c>
      <c r="I123">
        <f>-LN(VLOOKUP($B123,'Dev Acc 2000'!$D$4:$O$191,4,FALSE))+LN('Dev Acc 2000'!$G$150)</f>
        <v>3.5191157714449854</v>
      </c>
      <c r="J123">
        <f t="shared" si="10"/>
        <v>-3.5191157714449854</v>
      </c>
      <c r="K123">
        <f>LN(VLOOKUP($B123,'Dev Acc 2000'!$D$4:$O$191,11,FALSE))-LN('Dev Acc 2000'!$N$150)</f>
        <v>-1.7583106807672122</v>
      </c>
      <c r="L123">
        <f t="shared" si="11"/>
        <v>0.17233574814947561</v>
      </c>
      <c r="M123">
        <f>VLOOKUP(A123,'Country FEs'!$A$3:$H$173,3)-US_avg_adoption_lag</f>
        <v>51.54777</v>
      </c>
      <c r="N123">
        <f t="shared" si="12"/>
        <v>-0.72166878000000001</v>
      </c>
      <c r="O123">
        <f t="shared" si="13"/>
        <v>0.48594065091375355</v>
      </c>
      <c r="P123">
        <f t="shared" si="14"/>
        <v>-1.0309554000000001</v>
      </c>
      <c r="Q123">
        <f t="shared" si="15"/>
        <v>-0.53541297822317979</v>
      </c>
      <c r="R123">
        <f t="shared" si="16"/>
        <v>-0.52248966265953178</v>
      </c>
      <c r="S123">
        <f t="shared" si="17"/>
        <v>-0.91405888845623839</v>
      </c>
    </row>
    <row r="124" spans="1:19">
      <c r="A124">
        <f>'List of countries'!A123</f>
        <v>125</v>
      </c>
      <c r="B124" t="str">
        <f>'List of countries'!B123</f>
        <v>SAU</v>
      </c>
      <c r="C124" t="str">
        <f>'List of countries'!C123</f>
        <v>Saudi Arabia</v>
      </c>
      <c r="D124" t="str">
        <f>'List of countries'!D123</f>
        <v>other</v>
      </c>
      <c r="E124">
        <f>'List of countries'!E123</f>
        <v>0</v>
      </c>
      <c r="F124" t="e">
        <f>-LN(VLOOKUP($B124,'Klenow - RC'!$B$2:$F$93,2,FALSE))</f>
        <v>#N/A</v>
      </c>
      <c r="G124" t="e">
        <f>LN(VLOOKUP($B124,'Klenow - RC'!$B$2:$F$93,5,FALSE))</f>
        <v>#N/A</v>
      </c>
      <c r="H124" t="e">
        <f t="shared" si="9"/>
        <v>#N/A</v>
      </c>
      <c r="I124">
        <f>-LN(VLOOKUP($B124,'Dev Acc 2000'!$D$4:$O$191,4,FALSE))+LN('Dev Acc 2000'!$G$150)</f>
        <v>0.77533728059706775</v>
      </c>
      <c r="J124">
        <f t="shared" si="10"/>
        <v>-0.77533728059706775</v>
      </c>
      <c r="K124">
        <f>LN(VLOOKUP($B124,'Dev Acc 2000'!$D$4:$O$191,11,FALSE))-LN('Dev Acc 2000'!$N$150)</f>
        <v>0.68397734939700783</v>
      </c>
      <c r="L124">
        <f t="shared" si="11"/>
        <v>1.9817441670482641</v>
      </c>
      <c r="M124">
        <f>VLOOKUP(A124,'Country FEs'!$A$3:$H$173,3)-US_avg_adoption_lag</f>
        <v>51.097340000000003</v>
      </c>
      <c r="N124">
        <f t="shared" si="12"/>
        <v>-0.7153627600000001</v>
      </c>
      <c r="O124">
        <f t="shared" si="13"/>
        <v>0.48901468464953785</v>
      </c>
      <c r="P124">
        <f t="shared" si="14"/>
        <v>-1.0219468000000003</v>
      </c>
      <c r="Q124" t="e">
        <f t="shared" si="15"/>
        <v>#N/A</v>
      </c>
      <c r="R124">
        <f t="shared" si="16"/>
        <v>-0.21129975750950758</v>
      </c>
      <c r="S124">
        <f t="shared" si="17"/>
        <v>-0.49004984814577512</v>
      </c>
    </row>
    <row r="125" spans="1:19">
      <c r="A125">
        <f>'List of countries'!A124</f>
        <v>126</v>
      </c>
      <c r="B125" t="str">
        <f>'List of countries'!B124</f>
        <v>SEN</v>
      </c>
      <c r="C125" t="str">
        <f>'List of countries'!C124</f>
        <v>Senegal</v>
      </c>
      <c r="D125" t="str">
        <f>'List of countries'!D124</f>
        <v>SubSaharan</v>
      </c>
      <c r="E125">
        <f>'List of countries'!E124</f>
        <v>0</v>
      </c>
      <c r="F125">
        <f>-LN(VLOOKUP($B125,'Klenow - RC'!$B$2:$F$93,2,FALSE))</f>
        <v>2.5257286443082556</v>
      </c>
      <c r="G125">
        <f>LN(VLOOKUP($B125,'Klenow - RC'!$B$2:$F$93,5,FALSE))</f>
        <v>-1.3093333199837622</v>
      </c>
      <c r="H125">
        <f t="shared" si="9"/>
        <v>0.27</v>
      </c>
      <c r="I125">
        <f>-LN(VLOOKUP($B125,'Dev Acc 2000'!$D$4:$O$191,4,FALSE))+LN('Dev Acc 2000'!$G$150)</f>
        <v>3.0850779349409398</v>
      </c>
      <c r="J125">
        <f t="shared" si="10"/>
        <v>-3.0850779349409398</v>
      </c>
      <c r="K125">
        <f>LN(VLOOKUP($B125,'Dev Acc 2000'!$D$4:$O$191,11,FALSE))-LN('Dev Acc 2000'!$N$150)</f>
        <v>-1.3606763018550527</v>
      </c>
      <c r="L125">
        <f t="shared" si="11"/>
        <v>0.25648725547704498</v>
      </c>
      <c r="M125">
        <f>VLOOKUP(A125,'Country FEs'!$A$3:$H$173,3)-US_avg_adoption_lag</f>
        <v>17.96396</v>
      </c>
      <c r="N125">
        <f t="shared" si="12"/>
        <v>-0.25149544000000001</v>
      </c>
      <c r="O125">
        <f t="shared" si="13"/>
        <v>0.77763700362641908</v>
      </c>
      <c r="P125">
        <f t="shared" si="14"/>
        <v>-0.35927920000000002</v>
      </c>
      <c r="Q125">
        <f t="shared" si="15"/>
        <v>-0.51117392811570472</v>
      </c>
      <c r="R125">
        <f t="shared" si="16"/>
        <v>-0.47182413790169098</v>
      </c>
      <c r="S125">
        <f t="shared" si="17"/>
        <v>-0.8469849730041068</v>
      </c>
    </row>
    <row r="126" spans="1:19">
      <c r="A126">
        <f>'List of countries'!A125</f>
        <v>127</v>
      </c>
      <c r="B126" t="str">
        <f>'List of countries'!B125</f>
        <v>SER</v>
      </c>
      <c r="C126" t="str">
        <f>'List of countries'!C125</f>
        <v>Serbia</v>
      </c>
      <c r="D126" t="str">
        <f>'List of countries'!D125</f>
        <v>other</v>
      </c>
      <c r="E126">
        <f>'List of countries'!E125</f>
        <v>0</v>
      </c>
      <c r="F126" t="e">
        <f>-LN(VLOOKUP($B126,'Klenow - RC'!$B$2:$F$93,2,FALSE))</f>
        <v>#N/A</v>
      </c>
      <c r="G126" t="e">
        <f>LN(VLOOKUP($B126,'Klenow - RC'!$B$2:$F$93,5,FALSE))</f>
        <v>#N/A</v>
      </c>
      <c r="H126" t="e">
        <f t="shared" si="9"/>
        <v>#N/A</v>
      </c>
      <c r="I126" t="e">
        <f>-LN(VLOOKUP($B126,'Dev Acc 2000'!$D$4:$O$191,4,FALSE))+LN('Dev Acc 2000'!$G$150)</f>
        <v>#N/A</v>
      </c>
      <c r="J126" t="e">
        <f t="shared" si="10"/>
        <v>#N/A</v>
      </c>
      <c r="K126" t="e">
        <f>LN(VLOOKUP($B126,'Dev Acc 2000'!$D$4:$O$191,11,FALSE))-LN('Dev Acc 2000'!$N$150)</f>
        <v>#N/A</v>
      </c>
      <c r="L126" t="e">
        <f t="shared" si="11"/>
        <v>#N/A</v>
      </c>
      <c r="M126" t="e">
        <f>VLOOKUP(A126,'Country FEs'!$A$3:$H$173,3)-US_avg_adoption_lag</f>
        <v>#N/A</v>
      </c>
      <c r="N126" t="e">
        <f t="shared" si="12"/>
        <v>#N/A</v>
      </c>
      <c r="O126" t="e">
        <f t="shared" si="13"/>
        <v>#N/A</v>
      </c>
      <c r="P126" t="e">
        <f t="shared" si="14"/>
        <v>#N/A</v>
      </c>
      <c r="Q126" t="e">
        <f t="shared" si="15"/>
        <v>#N/A</v>
      </c>
      <c r="R126" t="e">
        <f t="shared" si="16"/>
        <v>#N/A</v>
      </c>
      <c r="S126" t="e">
        <f t="shared" si="17"/>
        <v>#N/A</v>
      </c>
    </row>
    <row r="127" spans="1:19">
      <c r="A127">
        <f>'List of countries'!A126</f>
        <v>128</v>
      </c>
      <c r="B127" t="str">
        <f>'List of countries'!B126</f>
        <v>SBM</v>
      </c>
      <c r="C127" t="str">
        <f>'List of countries'!C126</f>
        <v>Serbia and Montenegro</v>
      </c>
      <c r="D127" t="str">
        <f>'List of countries'!D126</f>
        <v>other</v>
      </c>
      <c r="E127">
        <f>'List of countries'!E126</f>
        <v>0</v>
      </c>
      <c r="F127" t="e">
        <f>-LN(VLOOKUP($B127,'Klenow - RC'!$B$2:$F$93,2,FALSE))</f>
        <v>#N/A</v>
      </c>
      <c r="G127" t="e">
        <f>LN(VLOOKUP($B127,'Klenow - RC'!$B$2:$F$93,5,FALSE))</f>
        <v>#N/A</v>
      </c>
      <c r="H127" t="e">
        <f t="shared" si="9"/>
        <v>#N/A</v>
      </c>
      <c r="I127">
        <f>-LN(VLOOKUP($B127,'Dev Acc 2000'!$D$4:$O$191,4,FALSE))+LN('Dev Acc 2000'!$G$150)</f>
        <v>2.7976281484382817</v>
      </c>
      <c r="J127">
        <f t="shared" si="10"/>
        <v>-2.7976281484382817</v>
      </c>
      <c r="K127" t="e">
        <f>LN(VLOOKUP($B127,'Dev Acc 2000'!$D$4:$O$191,11,FALSE))-LN('Dev Acc 2000'!$N$150)</f>
        <v>#N/A</v>
      </c>
      <c r="L127" t="e">
        <f t="shared" si="11"/>
        <v>#N/A</v>
      </c>
      <c r="M127">
        <f>VLOOKUP(A127,'Country FEs'!$A$3:$H$173,3)-US_avg_adoption_lag</f>
        <v>13.287820000000011</v>
      </c>
      <c r="N127">
        <f t="shared" si="12"/>
        <v>-0.18602948000000016</v>
      </c>
      <c r="O127">
        <f t="shared" si="13"/>
        <v>0.83024911887713204</v>
      </c>
      <c r="P127">
        <f t="shared" si="14"/>
        <v>-0.26575640000000023</v>
      </c>
      <c r="Q127" t="e">
        <f t="shared" si="15"/>
        <v>#N/A</v>
      </c>
      <c r="R127" t="e">
        <f t="shared" si="16"/>
        <v>#N/A</v>
      </c>
      <c r="S127">
        <f t="shared" si="17"/>
        <v>-0.80256400078678536</v>
      </c>
    </row>
    <row r="128" spans="1:19">
      <c r="A128">
        <f>'List of countries'!A127</f>
        <v>129</v>
      </c>
      <c r="B128" t="str">
        <f>'List of countries'!B127</f>
        <v>SRL</v>
      </c>
      <c r="C128" t="str">
        <f>'List of countries'!C127</f>
        <v>Sierra Leone</v>
      </c>
      <c r="D128" t="str">
        <f>'List of countries'!D127</f>
        <v>SubSaharan</v>
      </c>
      <c r="E128">
        <f>'List of countries'!E127</f>
        <v>0</v>
      </c>
      <c r="F128" t="e">
        <f>-LN(VLOOKUP($B128,'Klenow - RC'!$B$2:$F$93,2,FALSE))</f>
        <v>#N/A</v>
      </c>
      <c r="G128" t="e">
        <f>LN(VLOOKUP($B128,'Klenow - RC'!$B$2:$F$93,5,FALSE))</f>
        <v>#N/A</v>
      </c>
      <c r="H128" t="e">
        <f t="shared" si="9"/>
        <v>#N/A</v>
      </c>
      <c r="I128">
        <f>-LN(VLOOKUP($B128,'Dev Acc 2000'!$D$4:$O$191,4,FALSE))+LN('Dev Acc 2000'!$G$150)</f>
        <v>3.9172166069265915</v>
      </c>
      <c r="J128">
        <f t="shared" si="10"/>
        <v>-3.9172166069265915</v>
      </c>
      <c r="K128">
        <f>LN(VLOOKUP($B128,'Dev Acc 2000'!$D$4:$O$191,11,FALSE))-LN('Dev Acc 2000'!$N$150)</f>
        <v>-2.1316139156976561</v>
      </c>
      <c r="L128">
        <f t="shared" si="11"/>
        <v>0.1186456551643349</v>
      </c>
      <c r="M128">
        <f>VLOOKUP(A128,'Country FEs'!$A$3:$H$173,3)-US_avg_adoption_lag</f>
        <v>46.463590000000003</v>
      </c>
      <c r="N128">
        <f t="shared" si="12"/>
        <v>-0.6504902600000001</v>
      </c>
      <c r="O128">
        <f t="shared" si="13"/>
        <v>0.52178990132637149</v>
      </c>
      <c r="P128">
        <f t="shared" si="14"/>
        <v>-0.9292718000000002</v>
      </c>
      <c r="Q128" t="e">
        <f t="shared" si="15"/>
        <v>#N/A</v>
      </c>
      <c r="R128">
        <f t="shared" si="16"/>
        <v>-0.57005497716602394</v>
      </c>
      <c r="S128">
        <f t="shared" si="17"/>
        <v>-0.97557928952446926</v>
      </c>
    </row>
    <row r="129" spans="1:19">
      <c r="A129">
        <f>'List of countries'!A128</f>
        <v>130</v>
      </c>
      <c r="B129" t="str">
        <f>'List of countries'!B128</f>
        <v>SNG</v>
      </c>
      <c r="C129" t="str">
        <f>'List of countries'!C128</f>
        <v>Singapore</v>
      </c>
      <c r="D129" t="str">
        <f>'List of countries'!D128</f>
        <v>Tigers</v>
      </c>
      <c r="E129">
        <f>'List of countries'!E128</f>
        <v>0</v>
      </c>
      <c r="F129">
        <f>-LN(VLOOKUP($B129,'Klenow - RC'!$B$2:$F$93,2,FALSE))</f>
        <v>0.6348782724359695</v>
      </c>
      <c r="G129">
        <f>LN(VLOOKUP($B129,'Klenow - RC'!$B$2:$F$93,5,FALSE))</f>
        <v>2.9558802241544429E-2</v>
      </c>
      <c r="H129">
        <f t="shared" si="9"/>
        <v>1.03</v>
      </c>
      <c r="I129">
        <f>-LN(VLOOKUP($B129,'Dev Acc 2000'!$D$4:$O$191,4,FALSE))+LN('Dev Acc 2000'!$G$150)</f>
        <v>0.154881378257123</v>
      </c>
      <c r="J129">
        <f t="shared" si="10"/>
        <v>-0.154881378257123</v>
      </c>
      <c r="K129">
        <f>LN(VLOOKUP($B129,'Dev Acc 2000'!$D$4:$O$191,11,FALSE))-LN('Dev Acc 2000'!$N$150)</f>
        <v>-0.13161401913731829</v>
      </c>
      <c r="L129">
        <f t="shared" si="11"/>
        <v>0.87667931122023512</v>
      </c>
      <c r="M129">
        <f>VLOOKUP(A129,'Country FEs'!$A$3:$H$173,3)-US_avg_adoption_lag</f>
        <v>47.984690000000001</v>
      </c>
      <c r="N129">
        <f t="shared" si="12"/>
        <v>-0.67178566000000006</v>
      </c>
      <c r="O129">
        <f t="shared" si="13"/>
        <v>0.51079565557444795</v>
      </c>
      <c r="P129">
        <f t="shared" si="14"/>
        <v>-0.95969380000000015</v>
      </c>
      <c r="Q129">
        <f t="shared" si="15"/>
        <v>-0.30877317433056783</v>
      </c>
      <c r="R129">
        <f t="shared" si="16"/>
        <v>-0.31522026052991076</v>
      </c>
      <c r="S129">
        <f t="shared" si="17"/>
        <v>-0.39416786912172408</v>
      </c>
    </row>
    <row r="130" spans="1:19">
      <c r="A130">
        <f>'List of countries'!A129</f>
        <v>131</v>
      </c>
      <c r="B130" t="str">
        <f>'List of countries'!B129</f>
        <v>SVK</v>
      </c>
      <c r="C130" t="str">
        <f>'List of countries'!C129</f>
        <v>Slovak Republic</v>
      </c>
      <c r="D130" t="str">
        <f>'List of countries'!D129</f>
        <v>other</v>
      </c>
      <c r="E130">
        <f>'List of countries'!E129</f>
        <v>0</v>
      </c>
      <c r="F130" t="e">
        <f>-LN(VLOOKUP($B130,'Klenow - RC'!$B$2:$F$93,2,FALSE))</f>
        <v>#N/A</v>
      </c>
      <c r="G130" t="e">
        <f>LN(VLOOKUP($B130,'Klenow - RC'!$B$2:$F$93,5,FALSE))</f>
        <v>#N/A</v>
      </c>
      <c r="H130" t="e">
        <f t="shared" si="9"/>
        <v>#N/A</v>
      </c>
      <c r="I130">
        <f>-LN(VLOOKUP($B130,'Dev Acc 2000'!$D$4:$O$191,4,FALSE))+LN('Dev Acc 2000'!$G$150)</f>
        <v>1.265221294397973</v>
      </c>
      <c r="J130">
        <f t="shared" si="10"/>
        <v>-1.265221294397973</v>
      </c>
      <c r="K130" t="e">
        <f>LN(VLOOKUP($B130,'Dev Acc 2000'!$D$4:$O$191,11,FALSE))-LN('Dev Acc 2000'!$N$150)</f>
        <v>#N/A</v>
      </c>
      <c r="L130" t="e">
        <f t="shared" si="11"/>
        <v>#N/A</v>
      </c>
      <c r="M130">
        <f>VLOOKUP(A130,'Country FEs'!$A$3:$H$173,3)-US_avg_adoption_lag</f>
        <v>41.954660000000004</v>
      </c>
      <c r="N130">
        <f t="shared" si="12"/>
        <v>-0.58736524000000012</v>
      </c>
      <c r="O130">
        <f t="shared" si="13"/>
        <v>0.55578972984114905</v>
      </c>
      <c r="P130">
        <f t="shared" si="14"/>
        <v>-0.83909320000000021</v>
      </c>
      <c r="Q130" t="e">
        <f t="shared" si="15"/>
        <v>#N/A</v>
      </c>
      <c r="R130" t="e">
        <f t="shared" si="16"/>
        <v>#N/A</v>
      </c>
      <c r="S130">
        <f t="shared" si="17"/>
        <v>-0.56575393695907028</v>
      </c>
    </row>
    <row r="131" spans="1:19">
      <c r="A131">
        <f>'List of countries'!A130</f>
        <v>132</v>
      </c>
      <c r="B131" t="str">
        <f>'List of countries'!B130</f>
        <v>SVN</v>
      </c>
      <c r="C131" t="str">
        <f>'List of countries'!C130</f>
        <v>Slovenia</v>
      </c>
      <c r="D131" t="str">
        <f>'List of countries'!D130</f>
        <v>other</v>
      </c>
      <c r="E131">
        <f>'List of countries'!E130</f>
        <v>0</v>
      </c>
      <c r="F131" t="e">
        <f>-LN(VLOOKUP($B131,'Klenow - RC'!$B$2:$F$93,2,FALSE))</f>
        <v>#N/A</v>
      </c>
      <c r="G131" t="e">
        <f>LN(VLOOKUP($B131,'Klenow - RC'!$B$2:$F$93,5,FALSE))</f>
        <v>#N/A</v>
      </c>
      <c r="H131" t="e">
        <f t="shared" si="9"/>
        <v>#N/A</v>
      </c>
      <c r="I131">
        <f>-LN(VLOOKUP($B131,'Dev Acc 2000'!$D$4:$O$191,4,FALSE))+LN('Dev Acc 2000'!$G$150)</f>
        <v>0.63530000375917517</v>
      </c>
      <c r="J131">
        <f t="shared" si="10"/>
        <v>-0.63530000375917517</v>
      </c>
      <c r="K131" t="e">
        <f>LN(VLOOKUP($B131,'Dev Acc 2000'!$D$4:$O$191,11,FALSE))-LN('Dev Acc 2000'!$N$150)</f>
        <v>#N/A</v>
      </c>
      <c r="L131" t="e">
        <f t="shared" si="11"/>
        <v>#N/A</v>
      </c>
      <c r="M131">
        <f>VLOOKUP(A131,'Country FEs'!$A$3:$H$173,3)-US_avg_adoption_lag</f>
        <v>38.982780000000005</v>
      </c>
      <c r="N131">
        <f t="shared" si="12"/>
        <v>-0.54575892000000004</v>
      </c>
      <c r="O131">
        <f t="shared" si="13"/>
        <v>0.57940189675411102</v>
      </c>
      <c r="P131">
        <f t="shared" si="14"/>
        <v>-0.77965560000000012</v>
      </c>
      <c r="Q131" t="e">
        <f t="shared" si="15"/>
        <v>#N/A</v>
      </c>
      <c r="R131" t="e">
        <f t="shared" si="16"/>
        <v>#N/A</v>
      </c>
      <c r="S131">
        <f t="shared" si="17"/>
        <v>-0.4684092268063404</v>
      </c>
    </row>
    <row r="132" spans="1:19">
      <c r="A132">
        <f>'List of countries'!A131</f>
        <v>133</v>
      </c>
      <c r="B132" t="str">
        <f>'List of countries'!B131</f>
        <v>SOM</v>
      </c>
      <c r="C132" t="str">
        <f>'List of countries'!C131</f>
        <v>Somalia</v>
      </c>
      <c r="D132" t="str">
        <f>'List of countries'!D131</f>
        <v>SubSaharan</v>
      </c>
      <c r="E132">
        <f>'List of countries'!E131</f>
        <v>0</v>
      </c>
      <c r="F132" t="e">
        <f>-LN(VLOOKUP($B132,'Klenow - RC'!$B$2:$F$93,2,FALSE))</f>
        <v>#N/A</v>
      </c>
      <c r="G132" t="e">
        <f>LN(VLOOKUP($B132,'Klenow - RC'!$B$2:$F$93,5,FALSE))</f>
        <v>#N/A</v>
      </c>
      <c r="H132" t="e">
        <f t="shared" ref="H132:H168" si="18">EXP(G132)</f>
        <v>#N/A</v>
      </c>
      <c r="I132">
        <f>-LN(VLOOKUP($B132,'Dev Acc 2000'!$D$4:$O$191,4,FALSE))+LN('Dev Acc 2000'!$G$150)</f>
        <v>3.9202879799516612</v>
      </c>
      <c r="J132">
        <f t="shared" ref="J132:J168" si="19">-I132</f>
        <v>-3.9202879799516612</v>
      </c>
      <c r="K132">
        <f>LN(VLOOKUP($B132,'Dev Acc 2000'!$D$4:$O$191,11,FALSE))-LN('Dev Acc 2000'!$N$150)</f>
        <v>-2.6366552482177532</v>
      </c>
      <c r="L132">
        <f t="shared" ref="L132:L168" si="20">EXP(K132)</f>
        <v>7.160035490760093E-2</v>
      </c>
      <c r="M132">
        <f>VLOOKUP(A132,'Country FEs'!$A$3:$H$173,3)-US_avg_adoption_lag</f>
        <v>51.628630000000001</v>
      </c>
      <c r="N132">
        <f t="shared" ref="N132:N168" si="21">-$B$1*M132</f>
        <v>-0.72280082000000001</v>
      </c>
      <c r="O132">
        <f t="shared" ref="O132:O168" si="22">EXP(N132)</f>
        <v>0.48539085791184206</v>
      </c>
      <c r="P132">
        <f t="shared" ref="P132:P168" si="23">N132/0.7</f>
        <v>-1.0325726000000002</v>
      </c>
      <c r="Q132" t="e">
        <f t="shared" ref="Q132:Q168" si="24">G132*$L$171+$M$171</f>
        <v>#N/A</v>
      </c>
      <c r="R132">
        <f t="shared" ref="R132:R168" si="25">$M$177+$L$177*K132</f>
        <v>-0.63440601292539056</v>
      </c>
      <c r="S132">
        <f t="shared" ref="S132:S168" si="26">$M$183+$L$183*J132</f>
        <v>-0.97605392329433782</v>
      </c>
    </row>
    <row r="133" spans="1:19">
      <c r="A133">
        <f>'List of countries'!A132</f>
        <v>134</v>
      </c>
      <c r="B133" t="str">
        <f>'List of countries'!B132</f>
        <v>SAF</v>
      </c>
      <c r="C133" t="str">
        <f>'List of countries'!C132</f>
        <v>South Africa</v>
      </c>
      <c r="D133" t="str">
        <f>'List of countries'!D132</f>
        <v>SubSaharan</v>
      </c>
      <c r="E133">
        <f>'List of countries'!E132</f>
        <v>0</v>
      </c>
      <c r="F133">
        <f>-LN(VLOOKUP($B133,'Klenow - RC'!$B$2:$F$93,2,FALSE))</f>
        <v>1.2378743560016174</v>
      </c>
      <c r="G133">
        <f>LN(VLOOKUP($B133,'Klenow - RC'!$B$2:$F$93,5,FALSE))</f>
        <v>-0.56211891815354131</v>
      </c>
      <c r="H133">
        <f t="shared" si="18"/>
        <v>0.56999999999999995</v>
      </c>
      <c r="I133">
        <f>-LN(VLOOKUP($B133,'Dev Acc 2000'!$D$4:$O$191,4,FALSE))+LN('Dev Acc 2000'!$G$150)</f>
        <v>1.4297166026304673</v>
      </c>
      <c r="J133">
        <f t="shared" si="19"/>
        <v>-1.4297166026304673</v>
      </c>
      <c r="K133">
        <f>LN(VLOOKUP($B133,'Dev Acc 2000'!$D$4:$O$191,11,FALSE))-LN('Dev Acc 2000'!$N$150)</f>
        <v>-0.54773899623467059</v>
      </c>
      <c r="L133">
        <f t="shared" si="20"/>
        <v>0.57825577190977606</v>
      </c>
      <c r="M133">
        <f>VLOOKUP(A133,'Country FEs'!$A$3:$H$173,3)-US_avg_adoption_lag</f>
        <v>24.457320000000003</v>
      </c>
      <c r="N133">
        <f t="shared" si="21"/>
        <v>-0.34240248000000006</v>
      </c>
      <c r="O133">
        <f t="shared" si="22"/>
        <v>0.71006236129073408</v>
      </c>
      <c r="P133">
        <f t="shared" si="23"/>
        <v>-0.48914640000000015</v>
      </c>
      <c r="Q133">
        <f t="shared" si="24"/>
        <v>-0.39821728608379575</v>
      </c>
      <c r="R133">
        <f t="shared" si="25"/>
        <v>-0.36824180858408267</v>
      </c>
      <c r="S133">
        <f t="shared" si="26"/>
        <v>-0.59117417332723254</v>
      </c>
    </row>
    <row r="134" spans="1:19">
      <c r="A134">
        <f>'List of countries'!A133</f>
        <v>135</v>
      </c>
      <c r="B134" t="str">
        <f>'List of countries'!B133</f>
        <v>SPA</v>
      </c>
      <c r="C134" t="str">
        <f>'List of countries'!C133</f>
        <v>Spain</v>
      </c>
      <c r="D134" t="str">
        <f>'List of countries'!D133</f>
        <v>OECD</v>
      </c>
      <c r="E134">
        <f>'List of countries'!E133</f>
        <v>0</v>
      </c>
      <c r="F134">
        <f>-LN(VLOOKUP($B134,'Klenow - RC'!$B$2:$F$93,2,FALSE))</f>
        <v>0.46203545959655867</v>
      </c>
      <c r="G134">
        <f>LN(VLOOKUP($B134,'Klenow - RC'!$B$2:$F$93,5,FALSE))</f>
        <v>-7.2570692834835374E-2</v>
      </c>
      <c r="H134">
        <f t="shared" si="18"/>
        <v>0.93</v>
      </c>
      <c r="I134">
        <f>-LN(VLOOKUP($B134,'Dev Acc 2000'!$D$4:$O$191,4,FALSE))+LN('Dev Acc 2000'!$G$150)</f>
        <v>0.56474565872768245</v>
      </c>
      <c r="J134">
        <f t="shared" si="19"/>
        <v>-0.56474565872768245</v>
      </c>
      <c r="K134">
        <f>LN(VLOOKUP($B134,'Dev Acc 2000'!$D$4:$O$191,11,FALSE))-LN('Dev Acc 2000'!$N$150)</f>
        <v>-0.3616677944543536</v>
      </c>
      <c r="L134">
        <f t="shared" si="20"/>
        <v>0.69651371513100235</v>
      </c>
      <c r="M134">
        <f>VLOOKUP(A134,'Country FEs'!$A$3:$H$173,3)-US_avg_adoption_lag</f>
        <v>12.947140000000005</v>
      </c>
      <c r="N134">
        <f t="shared" si="21"/>
        <v>-0.18125996000000008</v>
      </c>
      <c r="O134">
        <f t="shared" si="22"/>
        <v>0.8342184670727375</v>
      </c>
      <c r="P134">
        <f t="shared" si="23"/>
        <v>-0.25894280000000014</v>
      </c>
      <c r="Q134">
        <f t="shared" si="24"/>
        <v>-0.3242121230285393</v>
      </c>
      <c r="R134">
        <f t="shared" si="25"/>
        <v>-0.34453310636795859</v>
      </c>
      <c r="S134">
        <f t="shared" si="26"/>
        <v>-0.45750613086535152</v>
      </c>
    </row>
    <row r="135" spans="1:19">
      <c r="A135">
        <f>'List of countries'!A134</f>
        <v>136</v>
      </c>
      <c r="B135" t="str">
        <f>'List of countries'!B134</f>
        <v>SRI</v>
      </c>
      <c r="C135" t="str">
        <f>'List of countries'!C134</f>
        <v>Sri Lanka</v>
      </c>
      <c r="D135" t="str">
        <f>'List of countries'!D134</f>
        <v>other</v>
      </c>
      <c r="E135">
        <f>'List of countries'!E134</f>
        <v>0</v>
      </c>
      <c r="F135">
        <f>-LN(VLOOKUP($B135,'Klenow - RC'!$B$2:$F$93,2,FALSE))</f>
        <v>1.7719568419318752</v>
      </c>
      <c r="G135">
        <f>LN(VLOOKUP($B135,'Klenow - RC'!$B$2:$F$93,5,FALSE))</f>
        <v>-0.79850769621777162</v>
      </c>
      <c r="H135">
        <f t="shared" si="18"/>
        <v>0.45</v>
      </c>
      <c r="I135">
        <f>-LN(VLOOKUP($B135,'Dev Acc 2000'!$D$4:$O$191,4,FALSE))+LN('Dev Acc 2000'!$G$150)</f>
        <v>2.1391395926754999</v>
      </c>
      <c r="J135">
        <f t="shared" si="19"/>
        <v>-2.1391395926754999</v>
      </c>
      <c r="K135">
        <f>LN(VLOOKUP($B135,'Dev Acc 2000'!$D$4:$O$191,11,FALSE))-LN('Dev Acc 2000'!$N$150)</f>
        <v>-1.5228588540220791</v>
      </c>
      <c r="L135">
        <f t="shared" si="20"/>
        <v>0.2180875145146042</v>
      </c>
      <c r="M135">
        <f>VLOOKUP(A135,'Country FEs'!$A$3:$H$173,3)-US_avg_adoption_lag</f>
        <v>34.304870000000001</v>
      </c>
      <c r="N135">
        <f t="shared" si="21"/>
        <v>-0.48026818000000004</v>
      </c>
      <c r="O135">
        <f t="shared" si="22"/>
        <v>0.61861746872574652</v>
      </c>
      <c r="P135">
        <f t="shared" si="23"/>
        <v>-0.68609740000000008</v>
      </c>
      <c r="Q135">
        <f t="shared" si="24"/>
        <v>-0.43395225387718778</v>
      </c>
      <c r="R135">
        <f t="shared" si="25"/>
        <v>-0.49248901133287759</v>
      </c>
      <c r="S135">
        <f t="shared" si="26"/>
        <v>-0.70080465632231426</v>
      </c>
    </row>
    <row r="136" spans="1:19">
      <c r="A136">
        <f>'List of countries'!A135</f>
        <v>137</v>
      </c>
      <c r="B136" t="str">
        <f>'List of countries'!B135</f>
        <v>SUD</v>
      </c>
      <c r="C136" t="str">
        <f>'List of countries'!C135</f>
        <v>Sudan</v>
      </c>
      <c r="D136" t="str">
        <f>'List of countries'!D135</f>
        <v>SubSaharan</v>
      </c>
      <c r="E136">
        <f>'List of countries'!E135</f>
        <v>0</v>
      </c>
      <c r="F136" t="e">
        <f>-LN(VLOOKUP($B136,'Klenow - RC'!$B$2:$F$93,2,FALSE))</f>
        <v>#N/A</v>
      </c>
      <c r="G136" t="e">
        <f>LN(VLOOKUP($B136,'Klenow - RC'!$B$2:$F$93,5,FALSE))</f>
        <v>#N/A</v>
      </c>
      <c r="H136" t="e">
        <f t="shared" si="18"/>
        <v>#N/A</v>
      </c>
      <c r="I136">
        <f>-LN(VLOOKUP($B136,'Dev Acc 2000'!$D$4:$O$191,4,FALSE))+LN('Dev Acc 2000'!$G$150)</f>
        <v>3.4904140198573987</v>
      </c>
      <c r="J136">
        <f t="shared" si="19"/>
        <v>-3.4904140198573987</v>
      </c>
      <c r="K136">
        <f>LN(VLOOKUP($B136,'Dev Acc 2000'!$D$4:$O$191,11,FALSE))-LN('Dev Acc 2000'!$N$150)</f>
        <v>-1.9190397975522639</v>
      </c>
      <c r="L136">
        <f t="shared" si="20"/>
        <v>0.14674780210086399</v>
      </c>
      <c r="M136">
        <f>VLOOKUP(A136,'Country FEs'!$A$3:$H$173,3)-US_avg_adoption_lag</f>
        <v>46.398160000000004</v>
      </c>
      <c r="N136">
        <f t="shared" si="21"/>
        <v>-0.64957424000000008</v>
      </c>
      <c r="O136">
        <f t="shared" si="22"/>
        <v>0.52226809029367638</v>
      </c>
      <c r="P136">
        <f t="shared" si="23"/>
        <v>-0.92796320000000021</v>
      </c>
      <c r="Q136" t="e">
        <f t="shared" si="24"/>
        <v>#N/A</v>
      </c>
      <c r="R136">
        <f t="shared" si="25"/>
        <v>-0.54296934318428314</v>
      </c>
      <c r="S136">
        <f t="shared" si="26"/>
        <v>-0.90962347131652566</v>
      </c>
    </row>
    <row r="137" spans="1:19">
      <c r="A137">
        <f>'List of countries'!A136</f>
        <v>138</v>
      </c>
      <c r="B137" t="str">
        <f>'List of countries'!B136</f>
        <v>SRN</v>
      </c>
      <c r="C137" t="str">
        <f>'List of countries'!C136</f>
        <v>Suriname</v>
      </c>
      <c r="D137" t="str">
        <f>'List of countries'!D136</f>
        <v>Latin</v>
      </c>
      <c r="E137">
        <f>'List of countries'!E136</f>
        <v>0</v>
      </c>
      <c r="F137" t="e">
        <f>-LN(VLOOKUP($B137,'Klenow - RC'!$B$2:$F$93,2,FALSE))</f>
        <v>#N/A</v>
      </c>
      <c r="G137" t="e">
        <f>LN(VLOOKUP($B137,'Klenow - RC'!$B$2:$F$93,5,FALSE))</f>
        <v>#N/A</v>
      </c>
      <c r="H137" t="e">
        <f t="shared" si="18"/>
        <v>#N/A</v>
      </c>
      <c r="I137">
        <f>-LN(VLOOKUP($B137,'Dev Acc 2000'!$D$4:$O$191,4,FALSE))+LN('Dev Acc 2000'!$G$150)</f>
        <v>1.978159760062109</v>
      </c>
      <c r="J137">
        <f t="shared" si="19"/>
        <v>-1.978159760062109</v>
      </c>
      <c r="K137">
        <f>LN(VLOOKUP($B137,'Dev Acc 2000'!$D$4:$O$191,11,FALSE))-LN('Dev Acc 2000'!$N$150)</f>
        <v>-0.53781815058408888</v>
      </c>
      <c r="L137">
        <f t="shared" si="20"/>
        <v>0.58402110939427876</v>
      </c>
      <c r="M137" t="e">
        <f>VLOOKUP(A137,'Country FEs'!$A$3:$H$173,3)-US_avg_adoption_lag</f>
        <v>#N/A</v>
      </c>
      <c r="N137" t="e">
        <f t="shared" si="21"/>
        <v>#N/A</v>
      </c>
      <c r="O137" t="e">
        <f t="shared" si="22"/>
        <v>#N/A</v>
      </c>
      <c r="P137" t="e">
        <f t="shared" si="23"/>
        <v>#N/A</v>
      </c>
      <c r="Q137" t="e">
        <f t="shared" si="24"/>
        <v>#N/A</v>
      </c>
      <c r="R137">
        <f t="shared" si="25"/>
        <v>-0.36697772057362599</v>
      </c>
      <c r="S137">
        <f t="shared" si="26"/>
        <v>-0.67592768299395734</v>
      </c>
    </row>
    <row r="138" spans="1:19">
      <c r="A138">
        <f>'List of countries'!A137</f>
        <v>139</v>
      </c>
      <c r="B138" t="str">
        <f>'List of countries'!B137</f>
        <v>SWA</v>
      </c>
      <c r="C138" t="str">
        <f>'List of countries'!C137</f>
        <v>Swaziland</v>
      </c>
      <c r="D138" t="str">
        <f>'List of countries'!D137</f>
        <v>SubSaharan</v>
      </c>
      <c r="E138">
        <f>'List of countries'!E137</f>
        <v>0</v>
      </c>
      <c r="F138">
        <f>-LN(VLOOKUP($B138,'Klenow - RC'!$B$2:$F$93,2,FALSE))</f>
        <v>1.8971199848858813</v>
      </c>
      <c r="G138">
        <f>LN(VLOOKUP($B138,'Klenow - RC'!$B$2:$F$93,5,FALSE))</f>
        <v>-0.89159811928378363</v>
      </c>
      <c r="H138">
        <f t="shared" si="18"/>
        <v>0.41</v>
      </c>
      <c r="I138">
        <f>-LN(VLOOKUP($B138,'Dev Acc 2000'!$D$4:$O$191,4,FALSE))+LN('Dev Acc 2000'!$G$150)</f>
        <v>1.3949564772693339</v>
      </c>
      <c r="J138">
        <f t="shared" si="19"/>
        <v>-1.3949564772693339</v>
      </c>
      <c r="K138">
        <f>LN(VLOOKUP($B138,'Dev Acc 2000'!$D$4:$O$191,11,FALSE))-LN('Dev Acc 2000'!$N$150)</f>
        <v>-0.26421743070313042</v>
      </c>
      <c r="L138">
        <f t="shared" si="20"/>
        <v>0.76780657678207842</v>
      </c>
      <c r="M138">
        <f>VLOOKUP(A138,'Country FEs'!$A$3:$H$173,3)-US_avg_adoption_lag</f>
        <v>60.344080000000005</v>
      </c>
      <c r="N138">
        <f t="shared" si="21"/>
        <v>-0.84481712000000009</v>
      </c>
      <c r="O138">
        <f t="shared" si="22"/>
        <v>0.42963592284413982</v>
      </c>
      <c r="P138">
        <f t="shared" si="23"/>
        <v>-1.2068816000000002</v>
      </c>
      <c r="Q138">
        <f t="shared" si="24"/>
        <v>-0.44802476314509093</v>
      </c>
      <c r="R138">
        <f t="shared" si="25"/>
        <v>-0.33211623780944566</v>
      </c>
      <c r="S138">
        <f t="shared" si="26"/>
        <v>-0.58580252709390601</v>
      </c>
    </row>
    <row r="139" spans="1:19">
      <c r="A139">
        <f>'List of countries'!A138</f>
        <v>140</v>
      </c>
      <c r="B139" t="str">
        <f>'List of countries'!B138</f>
        <v>SWE</v>
      </c>
      <c r="C139" t="str">
        <f>'List of countries'!C138</f>
        <v>Sweden</v>
      </c>
      <c r="D139" t="str">
        <f>'List of countries'!D138</f>
        <v>OECD</v>
      </c>
      <c r="E139">
        <f>'List of countries'!E138</f>
        <v>0</v>
      </c>
      <c r="F139">
        <f>-LN(VLOOKUP($B139,'Klenow - RC'!$B$2:$F$93,2,FALSE))</f>
        <v>0.24846135929849961</v>
      </c>
      <c r="G139">
        <f>LN(VLOOKUP($B139,'Klenow - RC'!$B$2:$F$93,5,FALSE))</f>
        <v>-0.26136476413440751</v>
      </c>
      <c r="H139">
        <f t="shared" si="18"/>
        <v>0.77</v>
      </c>
      <c r="I139">
        <f>-LN(VLOOKUP($B139,'Dev Acc 2000'!$D$4:$O$191,4,FALSE))+LN('Dev Acc 2000'!$G$150)</f>
        <v>0.30892016019755708</v>
      </c>
      <c r="J139">
        <f t="shared" si="19"/>
        <v>-0.30892016019755708</v>
      </c>
      <c r="K139">
        <f>LN(VLOOKUP($B139,'Dev Acc 2000'!$D$4:$O$191,11,FALSE))-LN('Dev Acc 2000'!$N$150)</f>
        <v>-0.48596835667516558</v>
      </c>
      <c r="L139">
        <f t="shared" si="20"/>
        <v>0.61510127085490118</v>
      </c>
      <c r="M139">
        <f>VLOOKUP(A139,'Country FEs'!$A$3:$H$173,3)-US_avg_adoption_lag</f>
        <v>7.7267500000000098</v>
      </c>
      <c r="N139">
        <f t="shared" si="21"/>
        <v>-0.10817450000000015</v>
      </c>
      <c r="O139">
        <f t="shared" si="22"/>
        <v>0.8974709740805551</v>
      </c>
      <c r="P139">
        <f t="shared" si="23"/>
        <v>-0.15453500000000023</v>
      </c>
      <c r="Q139">
        <f t="shared" si="24"/>
        <v>-0.35275218365544619</v>
      </c>
      <c r="R139">
        <f t="shared" si="25"/>
        <v>-0.36037115646272494</v>
      </c>
      <c r="S139">
        <f t="shared" si="26"/>
        <v>-0.41797220912913191</v>
      </c>
    </row>
    <row r="140" spans="1:19">
      <c r="A140">
        <f>'List of countries'!A139</f>
        <v>141</v>
      </c>
      <c r="B140" t="str">
        <f>'List of countries'!B139</f>
        <v>SWZ</v>
      </c>
      <c r="C140" t="str">
        <f>'List of countries'!C139</f>
        <v>Switzerland</v>
      </c>
      <c r="D140" t="str">
        <f>'List of countries'!D139</f>
        <v>OECD</v>
      </c>
      <c r="E140">
        <f>'List of countries'!E139</f>
        <v>0</v>
      </c>
      <c r="F140">
        <f>-LN(VLOOKUP($B140,'Klenow - RC'!$B$2:$F$93,2,FALSE))</f>
        <v>0.12783337150988489</v>
      </c>
      <c r="G140">
        <f>LN(VLOOKUP($B140,'Klenow - RC'!$B$2:$F$93,5,FALSE))</f>
        <v>-0.22314355131420971</v>
      </c>
      <c r="H140">
        <f t="shared" si="18"/>
        <v>0.8</v>
      </c>
      <c r="I140">
        <f>-LN(VLOOKUP($B140,'Dev Acc 2000'!$D$4:$O$191,4,FALSE))+LN('Dev Acc 2000'!$G$150)</f>
        <v>0.17556418109892213</v>
      </c>
      <c r="J140">
        <f t="shared" si="19"/>
        <v>-0.17556418109892213</v>
      </c>
      <c r="K140">
        <f>LN(VLOOKUP($B140,'Dev Acc 2000'!$D$4:$O$191,11,FALSE))-LN('Dev Acc 2000'!$N$150)</f>
        <v>-0.48832452955802808</v>
      </c>
      <c r="L140">
        <f t="shared" si="20"/>
        <v>0.61365369196305619</v>
      </c>
      <c r="M140">
        <f>VLOOKUP(A140,'Country FEs'!$A$3:$H$173,3)-US_avg_adoption_lag</f>
        <v>11.276970000000006</v>
      </c>
      <c r="N140">
        <f t="shared" si="21"/>
        <v>-0.15787758000000007</v>
      </c>
      <c r="O140">
        <f t="shared" si="22"/>
        <v>0.85395431665722799</v>
      </c>
      <c r="P140">
        <f t="shared" si="23"/>
        <v>-0.22553940000000011</v>
      </c>
      <c r="Q140">
        <f t="shared" si="24"/>
        <v>-0.34697427059062619</v>
      </c>
      <c r="R140">
        <f t="shared" si="25"/>
        <v>-0.36067137380272707</v>
      </c>
      <c r="S140">
        <f t="shared" si="26"/>
        <v>-0.39736408026381653</v>
      </c>
    </row>
    <row r="141" spans="1:19">
      <c r="A141">
        <f>'List of countries'!A140</f>
        <v>142</v>
      </c>
      <c r="B141" t="str">
        <f>'List of countries'!B140</f>
        <v>SYR</v>
      </c>
      <c r="C141" t="str">
        <f>'List of countries'!C140</f>
        <v>Syria</v>
      </c>
      <c r="D141" t="str">
        <f>'List of countries'!D140</f>
        <v>other</v>
      </c>
      <c r="E141">
        <f>'List of countries'!E140</f>
        <v>0</v>
      </c>
      <c r="F141">
        <f>-LN(VLOOKUP($B141,'Klenow - RC'!$B$2:$F$93,2,FALSE))</f>
        <v>0.67334455326376563</v>
      </c>
      <c r="G141">
        <f>LN(VLOOKUP($B141,'Klenow - RC'!$B$2:$F$93,5,FALSE))</f>
        <v>0.41871033485818504</v>
      </c>
      <c r="H141">
        <f t="shared" si="18"/>
        <v>1.52</v>
      </c>
      <c r="I141">
        <f>-LN(VLOOKUP($B141,'Dev Acc 2000'!$D$4:$O$191,4,FALSE))+LN('Dev Acc 2000'!$G$150)</f>
        <v>2.8434330651812392</v>
      </c>
      <c r="J141">
        <f t="shared" si="19"/>
        <v>-2.8434330651812392</v>
      </c>
      <c r="K141">
        <f>LN(VLOOKUP($B141,'Dev Acc 2000'!$D$4:$O$191,11,FALSE))-LN('Dev Acc 2000'!$N$150)</f>
        <v>-1.4895173387356433</v>
      </c>
      <c r="L141">
        <f t="shared" si="20"/>
        <v>0.22548146044615747</v>
      </c>
      <c r="M141">
        <f>VLOOKUP(A141,'Country FEs'!$A$3:$H$173,3)-US_avg_adoption_lag</f>
        <v>43.721790000000006</v>
      </c>
      <c r="N141">
        <f t="shared" si="21"/>
        <v>-0.61210506000000009</v>
      </c>
      <c r="O141">
        <f t="shared" si="22"/>
        <v>0.54220828591901959</v>
      </c>
      <c r="P141">
        <f t="shared" si="23"/>
        <v>-0.87443580000000021</v>
      </c>
      <c r="Q141">
        <f t="shared" si="24"/>
        <v>-0.24994501167968997</v>
      </c>
      <c r="R141">
        <f t="shared" si="25"/>
        <v>-0.48824072331303814</v>
      </c>
      <c r="S141">
        <f t="shared" si="26"/>
        <v>-0.80964245076168839</v>
      </c>
    </row>
    <row r="142" spans="1:19">
      <c r="A142">
        <f>'List of countries'!A141</f>
        <v>143</v>
      </c>
      <c r="B142" t="str">
        <f>'List of countries'!B141</f>
        <v>TAI</v>
      </c>
      <c r="C142" t="str">
        <f>'List of countries'!C141</f>
        <v>Taiwan</v>
      </c>
      <c r="D142" t="str">
        <f>'List of countries'!D141</f>
        <v>Tigers</v>
      </c>
      <c r="E142">
        <f>'List of countries'!E141</f>
        <v>0</v>
      </c>
      <c r="F142">
        <f>-LN(VLOOKUP($B142,'Klenow - RC'!$B$2:$F$93,2,FALSE))</f>
        <v>0.96758402626170559</v>
      </c>
      <c r="G142">
        <f>LN(VLOOKUP($B142,'Klenow - RC'!$B$2:$F$93,5,FALSE))</f>
        <v>-0.2876820724517809</v>
      </c>
      <c r="H142">
        <f t="shared" si="18"/>
        <v>0.75</v>
      </c>
      <c r="I142">
        <f>-LN(VLOOKUP($B142,'Dev Acc 2000'!$D$4:$O$191,4,FALSE))+LN('Dev Acc 2000'!$G$150)</f>
        <v>0.58295116604583264</v>
      </c>
      <c r="J142">
        <f t="shared" si="19"/>
        <v>-0.58295116604583264</v>
      </c>
      <c r="K142" t="e">
        <f>LN(VLOOKUP($B142,'Dev Acc 2000'!$D$4:$O$191,11,FALSE))-LN('Dev Acc 2000'!$N$150)</f>
        <v>#N/A</v>
      </c>
      <c r="L142" t="e">
        <f t="shared" si="20"/>
        <v>#N/A</v>
      </c>
      <c r="M142">
        <f>VLOOKUP(A142,'Country FEs'!$A$3:$H$173,3)-US_avg_adoption_lag</f>
        <v>40.89817</v>
      </c>
      <c r="N142">
        <f t="shared" si="21"/>
        <v>-0.57257438000000005</v>
      </c>
      <c r="O142">
        <f t="shared" si="22"/>
        <v>0.56407143370437407</v>
      </c>
      <c r="P142">
        <f t="shared" si="23"/>
        <v>-0.81796340000000012</v>
      </c>
      <c r="Q142">
        <f t="shared" si="24"/>
        <v>-0.35673057963867083</v>
      </c>
      <c r="R142" t="e">
        <f t="shared" si="25"/>
        <v>#N/A</v>
      </c>
      <c r="S142">
        <f t="shared" si="26"/>
        <v>-0.46031951383780434</v>
      </c>
    </row>
    <row r="143" spans="1:19">
      <c r="A143">
        <f>'List of countries'!A142</f>
        <v>144</v>
      </c>
      <c r="B143" t="str">
        <f>'List of countries'!B142</f>
        <v>TAJ</v>
      </c>
      <c r="C143" t="str">
        <f>'List of countries'!C142</f>
        <v>Tajikistan</v>
      </c>
      <c r="D143" t="str">
        <f>'List of countries'!D142</f>
        <v>other</v>
      </c>
      <c r="E143">
        <f>'List of countries'!E142</f>
        <v>0</v>
      </c>
      <c r="F143" t="e">
        <f>-LN(VLOOKUP($B143,'Klenow - RC'!$B$2:$F$93,2,FALSE))</f>
        <v>#N/A</v>
      </c>
      <c r="G143" t="e">
        <f>LN(VLOOKUP($B143,'Klenow - RC'!$B$2:$F$93,5,FALSE))</f>
        <v>#N/A</v>
      </c>
      <c r="H143" t="e">
        <f t="shared" si="18"/>
        <v>#N/A</v>
      </c>
      <c r="I143">
        <f>-LN(VLOOKUP($B143,'Dev Acc 2000'!$D$4:$O$191,4,FALSE))+LN('Dev Acc 2000'!$G$150)</f>
        <v>3.02996481895633</v>
      </c>
      <c r="J143">
        <f t="shared" si="19"/>
        <v>-3.02996481895633</v>
      </c>
      <c r="K143" t="e">
        <f>LN(VLOOKUP($B143,'Dev Acc 2000'!$D$4:$O$191,11,FALSE))-LN('Dev Acc 2000'!$N$150)</f>
        <v>#N/A</v>
      </c>
      <c r="L143" t="e">
        <f t="shared" si="20"/>
        <v>#N/A</v>
      </c>
      <c r="M143" t="e">
        <f>VLOOKUP(A143,'Country FEs'!$A$3:$H$173,3)-US_avg_adoption_lag</f>
        <v>#N/A</v>
      </c>
      <c r="N143" t="e">
        <f t="shared" si="21"/>
        <v>#N/A</v>
      </c>
      <c r="O143" t="e">
        <f t="shared" si="22"/>
        <v>#N/A</v>
      </c>
      <c r="P143" t="e">
        <f t="shared" si="23"/>
        <v>#N/A</v>
      </c>
      <c r="Q143" t="e">
        <f t="shared" si="24"/>
        <v>#N/A</v>
      </c>
      <c r="R143" t="e">
        <f t="shared" si="25"/>
        <v>#N/A</v>
      </c>
      <c r="S143">
        <f t="shared" si="26"/>
        <v>-0.83846808306743714</v>
      </c>
    </row>
    <row r="144" spans="1:19">
      <c r="A144">
        <f>'List of countries'!A143</f>
        <v>145</v>
      </c>
      <c r="B144" t="str">
        <f>'List of countries'!B143</f>
        <v>TAN</v>
      </c>
      <c r="C144" t="str">
        <f>'List of countries'!C143</f>
        <v>Tanzania</v>
      </c>
      <c r="D144" t="str">
        <f>'List of countries'!D143</f>
        <v>SubSaharan</v>
      </c>
      <c r="E144">
        <f>'List of countries'!E143</f>
        <v>0</v>
      </c>
      <c r="F144">
        <f>-LN(VLOOKUP($B144,'Klenow - RC'!$B$2:$F$93,2,FALSE))</f>
        <v>3.5065578973199818</v>
      </c>
      <c r="G144">
        <f>LN(VLOOKUP($B144,'Klenow - RC'!$B$2:$F$93,5,FALSE))</f>
        <v>-2.5257286443082556</v>
      </c>
      <c r="H144">
        <f t="shared" si="18"/>
        <v>7.9999999999999988E-2</v>
      </c>
      <c r="I144">
        <f>-LN(VLOOKUP($B144,'Dev Acc 2000'!$D$4:$O$191,4,FALSE))+LN('Dev Acc 2000'!$G$150)</f>
        <v>3.7395535892615346</v>
      </c>
      <c r="J144">
        <f t="shared" si="19"/>
        <v>-3.7395535892615346</v>
      </c>
      <c r="K144">
        <f>LN(VLOOKUP($B144,'Dev Acc 2000'!$D$4:$O$191,11,FALSE))-LN('Dev Acc 2000'!$N$150)</f>
        <v>-2.0098276477175832</v>
      </c>
      <c r="L144">
        <f t="shared" si="20"/>
        <v>0.13401176991290398</v>
      </c>
      <c r="M144" t="e">
        <f>VLOOKUP(A144,'Country FEs'!$A$3:$H$173,3)-US_avg_adoption_lag</f>
        <v>#N/A</v>
      </c>
      <c r="N144" t="e">
        <f t="shared" si="21"/>
        <v>#N/A</v>
      </c>
      <c r="O144" t="e">
        <f t="shared" si="22"/>
        <v>#N/A</v>
      </c>
      <c r="P144" t="e">
        <f t="shared" si="23"/>
        <v>#N/A</v>
      </c>
      <c r="Q144">
        <f t="shared" si="24"/>
        <v>-0.69505680146833737</v>
      </c>
      <c r="R144">
        <f t="shared" si="25"/>
        <v>-0.55453729181801603</v>
      </c>
      <c r="S144">
        <f t="shared" si="26"/>
        <v>-0.94812418486857486</v>
      </c>
    </row>
    <row r="145" spans="1:19">
      <c r="A145">
        <f>'List of countries'!A144</f>
        <v>146</v>
      </c>
      <c r="B145" t="str">
        <f>'List of countries'!B144</f>
        <v>THA</v>
      </c>
      <c r="C145" t="str">
        <f>'List of countries'!C144</f>
        <v>Thailand</v>
      </c>
      <c r="D145" t="str">
        <f>'List of countries'!D144</f>
        <v>other</v>
      </c>
      <c r="E145">
        <f>'List of countries'!E144</f>
        <v>0</v>
      </c>
      <c r="F145">
        <f>-LN(VLOOKUP($B145,'Klenow - RC'!$B$2:$F$93,2,FALSE))</f>
        <v>1.9661128563728327</v>
      </c>
      <c r="G145">
        <f>LN(VLOOKUP($B145,'Klenow - RC'!$B$2:$F$93,5,FALSE))</f>
        <v>-1.1086626245216111</v>
      </c>
      <c r="H145">
        <f t="shared" si="18"/>
        <v>0.33</v>
      </c>
      <c r="I145">
        <f>-LN(VLOOKUP($B145,'Dev Acc 2000'!$D$4:$O$191,4,FALSE))+LN('Dev Acc 2000'!$G$150)</f>
        <v>1.6692924033097611</v>
      </c>
      <c r="J145">
        <f t="shared" si="19"/>
        <v>-1.6692924033097611</v>
      </c>
      <c r="K145">
        <f>LN(VLOOKUP($B145,'Dev Acc 2000'!$D$4:$O$191,11,FALSE))-LN('Dev Acc 2000'!$N$150)</f>
        <v>-1.6996270792874428</v>
      </c>
      <c r="L145">
        <f t="shared" si="20"/>
        <v>0.18275166322716191</v>
      </c>
      <c r="M145">
        <f>VLOOKUP(A145,'Country FEs'!$A$3:$H$173,3)-US_avg_adoption_lag</f>
        <v>37.623530000000002</v>
      </c>
      <c r="N145">
        <f t="shared" si="21"/>
        <v>-0.52672942</v>
      </c>
      <c r="O145">
        <f t="shared" si="22"/>
        <v>0.59053320081837901</v>
      </c>
      <c r="P145">
        <f t="shared" si="23"/>
        <v>-0.7524706000000001</v>
      </c>
      <c r="Q145">
        <f t="shared" si="24"/>
        <v>-0.48083847438503274</v>
      </c>
      <c r="R145">
        <f t="shared" si="25"/>
        <v>-0.51501235279566482</v>
      </c>
      <c r="S145">
        <f t="shared" si="26"/>
        <v>-0.62819695255903785</v>
      </c>
    </row>
    <row r="146" spans="1:19">
      <c r="A146">
        <f>'List of countries'!A145</f>
        <v>147</v>
      </c>
      <c r="B146" t="str">
        <f>'List of countries'!B145</f>
        <v>TOG</v>
      </c>
      <c r="C146" t="str">
        <f>'List of countries'!C145</f>
        <v>Togo</v>
      </c>
      <c r="D146" t="str">
        <f>'List of countries'!D145</f>
        <v>SubSaharan</v>
      </c>
      <c r="E146">
        <f>'List of countries'!E145</f>
        <v>0</v>
      </c>
      <c r="F146">
        <f>-LN(VLOOKUP($B146,'Klenow - RC'!$B$2:$F$93,2,FALSE))</f>
        <v>3.2188758248682006</v>
      </c>
      <c r="G146">
        <f>LN(VLOOKUP($B146,'Klenow - RC'!$B$2:$F$93,5,FALSE))</f>
        <v>-2.120263536200091</v>
      </c>
      <c r="H146">
        <f t="shared" si="18"/>
        <v>0.12000000000000001</v>
      </c>
      <c r="I146">
        <f>-LN(VLOOKUP($B146,'Dev Acc 2000'!$D$4:$O$191,4,FALSE))+LN('Dev Acc 2000'!$G$150)</f>
        <v>3.7316209281265627</v>
      </c>
      <c r="J146">
        <f t="shared" si="19"/>
        <v>-3.7316209281265627</v>
      </c>
      <c r="K146">
        <f>LN(VLOOKUP($B146,'Dev Acc 2000'!$D$4:$O$191,11,FALSE))-LN('Dev Acc 2000'!$N$150)</f>
        <v>-2.4925098596422686</v>
      </c>
      <c r="L146">
        <f t="shared" si="20"/>
        <v>8.2702135119116824E-2</v>
      </c>
      <c r="M146">
        <f>VLOOKUP(A146,'Country FEs'!$A$3:$H$173,3)-US_avg_adoption_lag</f>
        <v>43.039000000000001</v>
      </c>
      <c r="N146">
        <f t="shared" si="21"/>
        <v>-0.60254600000000003</v>
      </c>
      <c r="O146">
        <f t="shared" si="22"/>
        <v>0.54741613889028584</v>
      </c>
      <c r="P146">
        <f t="shared" si="23"/>
        <v>-0.8607800000000001</v>
      </c>
      <c r="Q146">
        <f t="shared" si="24"/>
        <v>-0.63376251035079312</v>
      </c>
      <c r="R146">
        <f t="shared" si="25"/>
        <v>-0.61603938734945374</v>
      </c>
      <c r="S146">
        <f t="shared" si="26"/>
        <v>-0.94689831330271534</v>
      </c>
    </row>
    <row r="147" spans="1:19">
      <c r="A147">
        <f>'List of countries'!A146</f>
        <v>148</v>
      </c>
      <c r="B147" t="str">
        <f>'List of countries'!B146</f>
        <v>TUN</v>
      </c>
      <c r="C147" t="str">
        <f>'List of countries'!C146</f>
        <v>Tunisia</v>
      </c>
      <c r="D147" t="str">
        <f>'List of countries'!D146</f>
        <v>other</v>
      </c>
      <c r="E147">
        <f>'List of countries'!E146</f>
        <v>0</v>
      </c>
      <c r="F147">
        <f>-LN(VLOOKUP($B147,'Klenow - RC'!$B$2:$F$93,2,FALSE))</f>
        <v>1.3470736479666092</v>
      </c>
      <c r="G147">
        <f>LN(VLOOKUP($B147,'Klenow - RC'!$B$2:$F$93,5,FALSE))</f>
        <v>-0.21072103131565253</v>
      </c>
      <c r="H147">
        <f t="shared" si="18"/>
        <v>0.81</v>
      </c>
      <c r="I147">
        <f>-LN(VLOOKUP($B147,'Dev Acc 2000'!$D$4:$O$191,4,FALSE))+LN('Dev Acc 2000'!$G$150)</f>
        <v>1.5920698418948724</v>
      </c>
      <c r="J147">
        <f t="shared" si="19"/>
        <v>-1.5920698418948724</v>
      </c>
      <c r="K147">
        <f>LN(VLOOKUP($B147,'Dev Acc 2000'!$D$4:$O$191,11,FALSE))-LN('Dev Acc 2000'!$N$150)</f>
        <v>-0.67864463407540576</v>
      </c>
      <c r="L147">
        <f t="shared" si="20"/>
        <v>0.50730410931612568</v>
      </c>
      <c r="M147">
        <f>VLOOKUP(A147,'Country FEs'!$A$3:$H$173,3)-US_avg_adoption_lag</f>
        <v>34.309780000000003</v>
      </c>
      <c r="N147">
        <f t="shared" si="21"/>
        <v>-0.48033692000000006</v>
      </c>
      <c r="O147">
        <f t="shared" si="22"/>
        <v>0.61857494642245459</v>
      </c>
      <c r="P147">
        <f t="shared" si="23"/>
        <v>-0.68619560000000013</v>
      </c>
      <c r="Q147">
        <f t="shared" si="24"/>
        <v>-0.34509635423733559</v>
      </c>
      <c r="R147">
        <f t="shared" si="25"/>
        <v>-0.38492146000935812</v>
      </c>
      <c r="S147">
        <f t="shared" si="26"/>
        <v>-0.61626338566759231</v>
      </c>
    </row>
    <row r="148" spans="1:19">
      <c r="A148">
        <f>'List of countries'!A147</f>
        <v>149</v>
      </c>
      <c r="B148" t="str">
        <f>'List of countries'!B147</f>
        <v>TUR</v>
      </c>
      <c r="C148" t="str">
        <f>'List of countries'!C147</f>
        <v>Turkey</v>
      </c>
      <c r="D148" t="str">
        <f>'List of countries'!D147</f>
        <v>other</v>
      </c>
      <c r="E148">
        <f>'List of countries'!E147</f>
        <v>0</v>
      </c>
      <c r="F148">
        <f>-LN(VLOOKUP($B148,'Klenow - RC'!$B$2:$F$93,2,FALSE))</f>
        <v>1.5606477482646683</v>
      </c>
      <c r="G148">
        <f>LN(VLOOKUP($B148,'Klenow - RC'!$B$2:$F$93,5,FALSE))</f>
        <v>-0.73396917508020043</v>
      </c>
      <c r="H148">
        <f t="shared" si="18"/>
        <v>0.48</v>
      </c>
      <c r="I148">
        <f>-LN(VLOOKUP($B148,'Dev Acc 2000'!$D$4:$O$191,4,FALSE))+LN('Dev Acc 2000'!$G$150)</f>
        <v>1.7940013421630514</v>
      </c>
      <c r="J148">
        <f t="shared" si="19"/>
        <v>-1.7940013421630514</v>
      </c>
      <c r="K148">
        <f>LN(VLOOKUP($B148,'Dev Acc 2000'!$D$4:$O$191,11,FALSE))-LN('Dev Acc 2000'!$N$150)</f>
        <v>-1.0607033683223293</v>
      </c>
      <c r="L148">
        <f t="shared" si="20"/>
        <v>0.34621220996841617</v>
      </c>
      <c r="M148">
        <f>VLOOKUP(A148,'Country FEs'!$A$3:$H$173,3)-US_avg_adoption_lag</f>
        <v>30.751250000000006</v>
      </c>
      <c r="N148">
        <f t="shared" si="21"/>
        <v>-0.43051750000000011</v>
      </c>
      <c r="O148">
        <f t="shared" si="22"/>
        <v>0.65017254335697405</v>
      </c>
      <c r="P148">
        <f t="shared" si="23"/>
        <v>-0.61502500000000015</v>
      </c>
      <c r="Q148">
        <f t="shared" si="24"/>
        <v>-0.42419594482914319</v>
      </c>
      <c r="R148">
        <f t="shared" si="25"/>
        <v>-0.43360237716721034</v>
      </c>
      <c r="S148">
        <f t="shared" si="26"/>
        <v>-0.64746881348283225</v>
      </c>
    </row>
    <row r="149" spans="1:19">
      <c r="A149">
        <f>'List of countries'!A148</f>
        <v>150</v>
      </c>
      <c r="B149" t="str">
        <f>'List of countries'!B148</f>
        <v>TKM</v>
      </c>
      <c r="C149" t="str">
        <f>'List of countries'!C148</f>
        <v>Turkmenistan</v>
      </c>
      <c r="D149" t="str">
        <f>'List of countries'!D148</f>
        <v>other</v>
      </c>
      <c r="E149">
        <f>'List of countries'!E148</f>
        <v>0</v>
      </c>
      <c r="F149" t="e">
        <f>-LN(VLOOKUP($B149,'Klenow - RC'!$B$2:$F$93,2,FALSE))</f>
        <v>#N/A</v>
      </c>
      <c r="G149" t="e">
        <f>LN(VLOOKUP($B149,'Klenow - RC'!$B$2:$F$93,5,FALSE))</f>
        <v>#N/A</v>
      </c>
      <c r="H149" t="e">
        <f t="shared" si="18"/>
        <v>#N/A</v>
      </c>
      <c r="I149">
        <f>-LN(VLOOKUP($B149,'Dev Acc 2000'!$D$4:$O$191,4,FALSE))+LN('Dev Acc 2000'!$G$150)</f>
        <v>1.5056926797160965</v>
      </c>
      <c r="J149">
        <f t="shared" si="19"/>
        <v>-1.5056926797160965</v>
      </c>
      <c r="K149" t="e">
        <f>LN(VLOOKUP($B149,'Dev Acc 2000'!$D$4:$O$191,11,FALSE))-LN('Dev Acc 2000'!$N$150)</f>
        <v>#N/A</v>
      </c>
      <c r="L149" t="e">
        <f t="shared" si="20"/>
        <v>#N/A</v>
      </c>
      <c r="M149" t="e">
        <f>VLOOKUP(A149,'Country FEs'!$A$3:$H$173,3)-US_avg_adoption_lag</f>
        <v>#N/A</v>
      </c>
      <c r="N149" t="e">
        <f t="shared" si="21"/>
        <v>#N/A</v>
      </c>
      <c r="O149" t="e">
        <f t="shared" si="22"/>
        <v>#N/A</v>
      </c>
      <c r="P149" t="e">
        <f t="shared" si="23"/>
        <v>#N/A</v>
      </c>
      <c r="Q149" t="e">
        <f t="shared" si="24"/>
        <v>#N/A</v>
      </c>
      <c r="R149" t="e">
        <f t="shared" si="25"/>
        <v>#N/A</v>
      </c>
      <c r="S149">
        <f t="shared" si="26"/>
        <v>-0.60291511511210527</v>
      </c>
    </row>
    <row r="150" spans="1:19">
      <c r="A150">
        <f>'List of countries'!A149</f>
        <v>151</v>
      </c>
      <c r="B150" t="str">
        <f>'List of countries'!B149</f>
        <v>UAE</v>
      </c>
      <c r="C150" t="str">
        <f>'List of countries'!C149</f>
        <v>United Arab Emirates</v>
      </c>
      <c r="D150" t="str">
        <f>'List of countries'!D149</f>
        <v>other</v>
      </c>
      <c r="E150">
        <f>'List of countries'!E149</f>
        <v>0</v>
      </c>
      <c r="F150" t="e">
        <f>-LN(VLOOKUP($B150,'Klenow - RC'!$B$2:$F$93,2,FALSE))</f>
        <v>#N/A</v>
      </c>
      <c r="G150" t="e">
        <f>LN(VLOOKUP($B150,'Klenow - RC'!$B$2:$F$93,5,FALSE))</f>
        <v>#N/A</v>
      </c>
      <c r="H150" t="e">
        <f t="shared" si="18"/>
        <v>#N/A</v>
      </c>
      <c r="I150">
        <f>-LN(VLOOKUP($B150,'Dev Acc 2000'!$D$4:$O$191,4,FALSE))+LN('Dev Acc 2000'!$G$150)</f>
        <v>6.5626796448965408E-2</v>
      </c>
      <c r="J150">
        <f t="shared" si="19"/>
        <v>-6.5626796448965408E-2</v>
      </c>
      <c r="K150" t="e">
        <f>LN(VLOOKUP($B150,'Dev Acc 2000'!$D$4:$O$191,11,FALSE))-LN('Dev Acc 2000'!$N$150)</f>
        <v>#N/A</v>
      </c>
      <c r="L150" t="e">
        <f t="shared" si="20"/>
        <v>#N/A</v>
      </c>
      <c r="M150">
        <f>VLOOKUP(A150,'Country FEs'!$A$3:$H$173,3)-US_avg_adoption_lag</f>
        <v>59.920079999999999</v>
      </c>
      <c r="N150">
        <f t="shared" si="21"/>
        <v>-0.83888112000000004</v>
      </c>
      <c r="O150">
        <f t="shared" si="22"/>
        <v>0.43219382602791967</v>
      </c>
      <c r="P150">
        <f t="shared" si="23"/>
        <v>-1.1984016000000002</v>
      </c>
      <c r="Q150" t="e">
        <f t="shared" si="24"/>
        <v>#N/A</v>
      </c>
      <c r="R150" t="e">
        <f t="shared" si="25"/>
        <v>#N/A</v>
      </c>
      <c r="S150">
        <f t="shared" si="26"/>
        <v>-0.38037493733002781</v>
      </c>
    </row>
    <row r="151" spans="1:19">
      <c r="A151">
        <f>'List of countries'!A150</f>
        <v>152</v>
      </c>
      <c r="B151" t="str">
        <f>'List of countries'!B150</f>
        <v>UGA</v>
      </c>
      <c r="C151" t="str">
        <f>'List of countries'!C150</f>
        <v>Uganda</v>
      </c>
      <c r="D151" t="str">
        <f>'List of countries'!D150</f>
        <v>SubSaharan</v>
      </c>
      <c r="E151">
        <f>'List of countries'!E150</f>
        <v>0</v>
      </c>
      <c r="F151">
        <f>-LN(VLOOKUP($B151,'Klenow - RC'!$B$2:$F$93,2,FALSE))</f>
        <v>3.2188758248682006</v>
      </c>
      <c r="G151">
        <f>LN(VLOOKUP($B151,'Klenow - RC'!$B$2:$F$93,5,FALSE))</f>
        <v>-1.7719568419318752</v>
      </c>
      <c r="H151">
        <f t="shared" si="18"/>
        <v>0.17</v>
      </c>
      <c r="I151">
        <f>-LN(VLOOKUP($B151,'Dev Acc 2000'!$D$4:$O$191,4,FALSE))+LN('Dev Acc 2000'!$G$150)</f>
        <v>3.4808398932109554</v>
      </c>
      <c r="J151">
        <f t="shared" si="19"/>
        <v>-3.4808398932109554</v>
      </c>
      <c r="K151">
        <f>LN(VLOOKUP($B151,'Dev Acc 2000'!$D$4:$O$191,11,FALSE))-LN('Dev Acc 2000'!$N$150)</f>
        <v>-1.6334369462048626</v>
      </c>
      <c r="L151">
        <f t="shared" si="20"/>
        <v>0.19525733061483244</v>
      </c>
      <c r="M151">
        <f>VLOOKUP(A151,'Country FEs'!$A$3:$H$173,3)-US_avg_adoption_lag</f>
        <v>46.519500000000001</v>
      </c>
      <c r="N151">
        <f t="shared" si="21"/>
        <v>-0.65127299999999999</v>
      </c>
      <c r="O151">
        <f t="shared" si="22"/>
        <v>0.52138163530292569</v>
      </c>
      <c r="P151">
        <f t="shared" si="23"/>
        <v>-0.93039000000000005</v>
      </c>
      <c r="Q151">
        <f t="shared" si="24"/>
        <v>-0.58110887508171283</v>
      </c>
      <c r="R151">
        <f t="shared" si="25"/>
        <v>-0.50657858045536852</v>
      </c>
      <c r="S151">
        <f t="shared" si="26"/>
        <v>-0.90814393633776913</v>
      </c>
    </row>
    <row r="152" spans="1:19">
      <c r="A152">
        <f>'List of countries'!A151</f>
        <v>153</v>
      </c>
      <c r="B152" t="str">
        <f>'List of countries'!B151</f>
        <v>UKR</v>
      </c>
      <c r="C152" t="str">
        <f>'List of countries'!C151</f>
        <v>Ukraine</v>
      </c>
      <c r="D152" t="str">
        <f>'List of countries'!D151</f>
        <v>other</v>
      </c>
      <c r="E152">
        <f>'List of countries'!E151</f>
        <v>0</v>
      </c>
      <c r="F152" t="e">
        <f>-LN(VLOOKUP($B152,'Klenow - RC'!$B$2:$F$93,2,FALSE))</f>
        <v>#N/A</v>
      </c>
      <c r="G152" t="e">
        <f>LN(VLOOKUP($B152,'Klenow - RC'!$B$2:$F$93,5,FALSE))</f>
        <v>#N/A</v>
      </c>
      <c r="H152" t="e">
        <f t="shared" si="18"/>
        <v>#N/A</v>
      </c>
      <c r="I152">
        <f>-LN(VLOOKUP($B152,'Dev Acc 2000'!$D$4:$O$191,4,FALSE))+LN('Dev Acc 2000'!$G$150)</f>
        <v>1.9270123775782615</v>
      </c>
      <c r="J152">
        <f t="shared" si="19"/>
        <v>-1.9270123775782615</v>
      </c>
      <c r="K152" t="e">
        <f>LN(VLOOKUP($B152,'Dev Acc 2000'!$D$4:$O$191,11,FALSE))-LN('Dev Acc 2000'!$N$150)</f>
        <v>#N/A</v>
      </c>
      <c r="L152" t="e">
        <f t="shared" si="20"/>
        <v>#N/A</v>
      </c>
      <c r="M152">
        <f>VLOOKUP(A152,'Country FEs'!$A$3:$H$173,3)-US_avg_adoption_lag</f>
        <v>25.178510000000003</v>
      </c>
      <c r="N152">
        <f t="shared" si="21"/>
        <v>-0.35249914000000004</v>
      </c>
      <c r="O152">
        <f t="shared" si="22"/>
        <v>0.70292917432954816</v>
      </c>
      <c r="P152">
        <f t="shared" si="23"/>
        <v>-0.50357020000000008</v>
      </c>
      <c r="Q152" t="e">
        <f t="shared" si="24"/>
        <v>#N/A</v>
      </c>
      <c r="R152" t="e">
        <f t="shared" si="25"/>
        <v>#N/A</v>
      </c>
      <c r="S152">
        <f t="shared" si="26"/>
        <v>-0.6680236365726786</v>
      </c>
    </row>
    <row r="153" spans="1:19">
      <c r="A153">
        <f>'List of countries'!A152</f>
        <v>154</v>
      </c>
      <c r="B153" t="str">
        <f>'List of countries'!B152</f>
        <v>UNK</v>
      </c>
      <c r="C153" t="str">
        <f>'List of countries'!C152</f>
        <v>United Kingdom</v>
      </c>
      <c r="D153" t="str">
        <f>'List of countries'!D152</f>
        <v>GBR</v>
      </c>
      <c r="E153">
        <f>'List of countries'!E152</f>
        <v>0</v>
      </c>
      <c r="F153">
        <f>-LN(VLOOKUP($B153,'Klenow - RC'!$B$2:$F$93,2,FALSE))</f>
        <v>0.38566248081198462</v>
      </c>
      <c r="G153">
        <f>LN(VLOOKUP($B153,'Klenow - RC'!$B$2:$F$93,5,FALSE))</f>
        <v>-0.23572233352106983</v>
      </c>
      <c r="H153">
        <f t="shared" si="18"/>
        <v>0.79</v>
      </c>
      <c r="I153">
        <f>-LN(VLOOKUP($B153,'Dev Acc 2000'!$D$4:$O$191,4,FALSE))+LN('Dev Acc 2000'!$G$150)</f>
        <v>0.33158162105742761</v>
      </c>
      <c r="J153">
        <f t="shared" si="19"/>
        <v>-0.33158162105742761</v>
      </c>
      <c r="K153">
        <f>LN(VLOOKUP($B153,'Dev Acc 2000'!$D$4:$O$191,11,FALSE))-LN('Dev Acc 2000'!$N$150)</f>
        <v>-0.29775473529072727</v>
      </c>
      <c r="L153">
        <f t="shared" si="20"/>
        <v>0.74248342239837184</v>
      </c>
      <c r="M153">
        <f>VLOOKUP(A153,'Country FEs'!$A$3:$H$173,3)-US_avg_adoption_lag</f>
        <v>4.1549300000000073</v>
      </c>
      <c r="N153">
        <f t="shared" si="21"/>
        <v>-5.8169020000000106E-2</v>
      </c>
      <c r="O153">
        <f t="shared" si="22"/>
        <v>0.94349046520090607</v>
      </c>
      <c r="P153">
        <f t="shared" si="23"/>
        <v>-8.3098600000000161E-2</v>
      </c>
      <c r="Q153">
        <f t="shared" si="24"/>
        <v>-0.34887580915232608</v>
      </c>
      <c r="R153">
        <f t="shared" si="25"/>
        <v>-0.33638947278611631</v>
      </c>
      <c r="S153">
        <f t="shared" si="26"/>
        <v>-0.42147419163365157</v>
      </c>
    </row>
    <row r="154" spans="1:19">
      <c r="A154">
        <f>'List of countries'!A153</f>
        <v>155</v>
      </c>
      <c r="B154" t="str">
        <f>'List of countries'!B153</f>
        <v>USA</v>
      </c>
      <c r="C154" t="str">
        <f>'List of countries'!C153</f>
        <v>United States</v>
      </c>
      <c r="D154" t="str">
        <f>'List of countries'!D153</f>
        <v>USA</v>
      </c>
      <c r="E154">
        <f>'List of countries'!E153</f>
        <v>0</v>
      </c>
      <c r="F154">
        <f>-LN(VLOOKUP($B154,'Klenow - RC'!$B$2:$F$93,2,FALSE))</f>
        <v>0</v>
      </c>
      <c r="G154">
        <f>LN(VLOOKUP($B154,'Klenow - RC'!$B$2:$F$93,5,FALSE))</f>
        <v>0</v>
      </c>
      <c r="H154">
        <f t="shared" si="18"/>
        <v>1</v>
      </c>
      <c r="I154">
        <f>-LN(VLOOKUP($B154,'Dev Acc 2000'!$D$4:$O$191,4,FALSE))+LN('Dev Acc 2000'!$G$150)</f>
        <v>0</v>
      </c>
      <c r="J154">
        <f t="shared" si="19"/>
        <v>0</v>
      </c>
      <c r="K154">
        <f>LN(VLOOKUP($B154,'Dev Acc 2000'!$D$4:$O$191,11,FALSE))-LN('Dev Acc 2000'!$N$150)</f>
        <v>0</v>
      </c>
      <c r="L154">
        <f t="shared" si="20"/>
        <v>1</v>
      </c>
      <c r="M154">
        <f>VLOOKUP(A154,'Country FEs'!$A$3:$H$173,3)-US_avg_adoption_lag</f>
        <v>0</v>
      </c>
      <c r="N154">
        <f t="shared" si="21"/>
        <v>0</v>
      </c>
      <c r="O154">
        <f t="shared" si="22"/>
        <v>1</v>
      </c>
      <c r="P154">
        <f t="shared" si="23"/>
        <v>0</v>
      </c>
      <c r="Q154">
        <f t="shared" si="24"/>
        <v>-0.31324158799539004</v>
      </c>
      <c r="R154">
        <f t="shared" si="25"/>
        <v>-0.29845034902647455</v>
      </c>
      <c r="S154">
        <f t="shared" si="26"/>
        <v>-0.37023331872860177</v>
      </c>
    </row>
    <row r="155" spans="1:19">
      <c r="A155">
        <f>'List of countries'!A154</f>
        <v>156</v>
      </c>
      <c r="B155" t="str">
        <f>'List of countries'!B154</f>
        <v>URG</v>
      </c>
      <c r="C155" t="str">
        <f>'List of countries'!C154</f>
        <v>Uruguay</v>
      </c>
      <c r="D155" t="str">
        <f>'List of countries'!D154</f>
        <v>Latin</v>
      </c>
      <c r="E155">
        <f>'List of countries'!E154</f>
        <v>0</v>
      </c>
      <c r="F155">
        <f>-LN(VLOOKUP($B155,'Klenow - RC'!$B$2:$F$93,2,FALSE))</f>
        <v>1.2039728043259361</v>
      </c>
      <c r="G155">
        <f>LN(VLOOKUP($B155,'Klenow - RC'!$B$2:$F$93,5,FALSE))</f>
        <v>-0.84397007029452897</v>
      </c>
      <c r="H155">
        <f t="shared" si="18"/>
        <v>0.43</v>
      </c>
      <c r="I155">
        <f>-LN(VLOOKUP($B155,'Dev Acc 2000'!$D$4:$O$191,4,FALSE))+LN('Dev Acc 2000'!$G$150)</f>
        <v>1.1630734788487977</v>
      </c>
      <c r="J155">
        <f t="shared" si="19"/>
        <v>-1.1630734788487977</v>
      </c>
      <c r="K155">
        <f>LN(VLOOKUP($B155,'Dev Acc 2000'!$D$4:$O$191,11,FALSE))-LN('Dev Acc 2000'!$N$150)</f>
        <v>-0.8718120523266002</v>
      </c>
      <c r="L155">
        <f t="shared" si="20"/>
        <v>0.41819307452357601</v>
      </c>
      <c r="M155">
        <f>VLOOKUP(A155,'Country FEs'!$A$3:$H$173,3)-US_avg_adoption_lag</f>
        <v>22.530260000000006</v>
      </c>
      <c r="N155">
        <f t="shared" si="21"/>
        <v>-0.31542364000000006</v>
      </c>
      <c r="O155">
        <f t="shared" si="22"/>
        <v>0.72947977198902925</v>
      </c>
      <c r="P155">
        <f t="shared" si="23"/>
        <v>-0.45060520000000009</v>
      </c>
      <c r="Q155">
        <f t="shared" si="24"/>
        <v>-0.44082481562376374</v>
      </c>
      <c r="R155">
        <f t="shared" si="25"/>
        <v>-0.40953434342901862</v>
      </c>
      <c r="S155">
        <f t="shared" si="26"/>
        <v>-0.54996855290373003</v>
      </c>
    </row>
    <row r="156" spans="1:19">
      <c r="A156">
        <f>'List of countries'!A155</f>
        <v>158</v>
      </c>
      <c r="B156" t="str">
        <f>'List of countries'!B155</f>
        <v>UZB</v>
      </c>
      <c r="C156" t="str">
        <f>'List of countries'!C155</f>
        <v>Uzbekistan</v>
      </c>
      <c r="D156" t="str">
        <f>'List of countries'!D155</f>
        <v>other</v>
      </c>
      <c r="E156">
        <f>'List of countries'!E155</f>
        <v>0</v>
      </c>
      <c r="F156" t="e">
        <f>-LN(VLOOKUP($B156,'Klenow - RC'!$B$2:$F$93,2,FALSE))</f>
        <v>#N/A</v>
      </c>
      <c r="G156" t="e">
        <f>LN(VLOOKUP($B156,'Klenow - RC'!$B$2:$F$93,5,FALSE))</f>
        <v>#N/A</v>
      </c>
      <c r="H156" t="e">
        <f t="shared" si="18"/>
        <v>#N/A</v>
      </c>
      <c r="I156">
        <f>-LN(VLOOKUP($B156,'Dev Acc 2000'!$D$4:$O$191,4,FALSE))+LN('Dev Acc 2000'!$G$150)</f>
        <v>2.2719822476094151</v>
      </c>
      <c r="J156">
        <f t="shared" si="19"/>
        <v>-2.2719822476094151</v>
      </c>
      <c r="K156" t="e">
        <f>LN(VLOOKUP($B156,'Dev Acc 2000'!$D$4:$O$191,11,FALSE))-LN('Dev Acc 2000'!$N$150)</f>
        <v>#N/A</v>
      </c>
      <c r="L156" t="e">
        <f t="shared" si="20"/>
        <v>#N/A</v>
      </c>
      <c r="M156" t="e">
        <f>VLOOKUP(A156,'Country FEs'!$A$3:$H$173,3)-US_avg_adoption_lag</f>
        <v>#N/A</v>
      </c>
      <c r="N156" t="e">
        <f t="shared" si="21"/>
        <v>#N/A</v>
      </c>
      <c r="O156" t="e">
        <f t="shared" si="22"/>
        <v>#N/A</v>
      </c>
      <c r="P156" t="e">
        <f t="shared" si="23"/>
        <v>#N/A</v>
      </c>
      <c r="Q156" t="e">
        <f t="shared" si="24"/>
        <v>#N/A</v>
      </c>
      <c r="R156" t="e">
        <f t="shared" si="25"/>
        <v>#N/A</v>
      </c>
      <c r="S156">
        <f t="shared" si="26"/>
        <v>-0.72133345878166177</v>
      </c>
    </row>
    <row r="157" spans="1:19">
      <c r="A157">
        <f>'List of countries'!A156</f>
        <v>159</v>
      </c>
      <c r="B157" t="str">
        <f>'List of countries'!B156</f>
        <v>VNZ</v>
      </c>
      <c r="C157" t="str">
        <f>'List of countries'!C156</f>
        <v>Venezuela</v>
      </c>
      <c r="D157" t="str">
        <f>'List of countries'!D156</f>
        <v>Latin</v>
      </c>
      <c r="E157">
        <f>'List of countries'!E156</f>
        <v>0</v>
      </c>
      <c r="F157">
        <f>-LN(VLOOKUP($B157,'Klenow - RC'!$B$2:$F$93,2,FALSE))</f>
        <v>0.61618613942381695</v>
      </c>
      <c r="G157">
        <f>LN(VLOOKUP($B157,'Klenow - RC'!$B$2:$F$93,5,FALSE))</f>
        <v>6.7658648473814864E-2</v>
      </c>
      <c r="H157">
        <f t="shared" si="18"/>
        <v>1.07</v>
      </c>
      <c r="I157">
        <f>-LN(VLOOKUP($B157,'Dev Acc 2000'!$D$4:$O$191,4,FALSE))+LN('Dev Acc 2000'!$G$150)</f>
        <v>1.546008135080859</v>
      </c>
      <c r="J157">
        <f t="shared" si="19"/>
        <v>-1.546008135080859</v>
      </c>
      <c r="K157">
        <f>LN(VLOOKUP($B157,'Dev Acc 2000'!$D$4:$O$191,11,FALSE))-LN('Dev Acc 2000'!$N$150)</f>
        <v>-1.0932263553002919</v>
      </c>
      <c r="L157">
        <f t="shared" si="20"/>
        <v>0.33513348786049363</v>
      </c>
      <c r="M157">
        <f>VLOOKUP(A157,'Country FEs'!$A$3:$H$173,3)-US_avg_adoption_lag</f>
        <v>25.302060000000004</v>
      </c>
      <c r="N157">
        <f t="shared" si="21"/>
        <v>-0.35422884000000004</v>
      </c>
      <c r="O157">
        <f t="shared" si="22"/>
        <v>0.70171436866426751</v>
      </c>
      <c r="P157">
        <f t="shared" si="23"/>
        <v>-0.50604120000000008</v>
      </c>
      <c r="Q157">
        <f t="shared" si="24"/>
        <v>-0.30301360829197427</v>
      </c>
      <c r="R157">
        <f t="shared" si="25"/>
        <v>-0.43774637046688153</v>
      </c>
      <c r="S157">
        <f t="shared" si="26"/>
        <v>-0.60914525271100806</v>
      </c>
    </row>
    <row r="158" spans="1:19">
      <c r="A158">
        <f>'List of countries'!A157</f>
        <v>160</v>
      </c>
      <c r="B158" t="str">
        <f>'List of countries'!B157</f>
        <v>VTM</v>
      </c>
      <c r="C158" t="str">
        <f>'List of countries'!C157</f>
        <v>Vietnam</v>
      </c>
      <c r="D158" t="str">
        <f>'List of countries'!D157</f>
        <v>other</v>
      </c>
      <c r="E158">
        <f>'List of countries'!E157</f>
        <v>0</v>
      </c>
      <c r="F158" t="e">
        <f>-LN(VLOOKUP($B158,'Klenow - RC'!$B$2:$F$93,2,FALSE))</f>
        <v>#N/A</v>
      </c>
      <c r="G158" t="e">
        <f>LN(VLOOKUP($B158,'Klenow - RC'!$B$2:$F$93,5,FALSE))</f>
        <v>#N/A</v>
      </c>
      <c r="H158" t="e">
        <f t="shared" si="18"/>
        <v>#N/A</v>
      </c>
      <c r="I158">
        <f>-LN(VLOOKUP($B158,'Dev Acc 2000'!$D$4:$O$191,4,FALSE))+LN('Dev Acc 2000'!$G$150)</f>
        <v>2.7533929353703401</v>
      </c>
      <c r="J158">
        <f t="shared" si="19"/>
        <v>-2.7533929353703401</v>
      </c>
      <c r="K158" t="e">
        <f>LN(VLOOKUP($B158,'Dev Acc 2000'!$D$4:$O$191,11,FALSE))-LN('Dev Acc 2000'!$N$150)</f>
        <v>#N/A</v>
      </c>
      <c r="L158" t="e">
        <f t="shared" si="20"/>
        <v>#N/A</v>
      </c>
      <c r="M158">
        <f>VLOOKUP(A158,'Country FEs'!$A$3:$H$173,3)-US_avg_adoption_lag</f>
        <v>35.002070000000003</v>
      </c>
      <c r="N158">
        <f t="shared" si="21"/>
        <v>-0.49002898000000006</v>
      </c>
      <c r="O158">
        <f t="shared" si="22"/>
        <v>0.61260864052876429</v>
      </c>
      <c r="P158">
        <f t="shared" si="23"/>
        <v>-0.70004140000000015</v>
      </c>
      <c r="Q158" t="e">
        <f t="shared" si="24"/>
        <v>#N/A</v>
      </c>
      <c r="R158" t="e">
        <f t="shared" si="25"/>
        <v>#N/A</v>
      </c>
      <c r="S158">
        <f t="shared" si="26"/>
        <v>-0.79572812452948938</v>
      </c>
    </row>
    <row r="159" spans="1:19">
      <c r="A159">
        <f>'List of countries'!A158</f>
        <v>161</v>
      </c>
      <c r="B159" t="str">
        <f>'List of countries'!B158</f>
        <v>VTN</v>
      </c>
      <c r="C159" t="str">
        <f>'List of countries'!C158</f>
        <v>North Vietnam</v>
      </c>
      <c r="D159" t="str">
        <f>'List of countries'!D158</f>
        <v>other</v>
      </c>
      <c r="E159">
        <f>'List of countries'!E158</f>
        <v>0</v>
      </c>
      <c r="F159" t="e">
        <f>-LN(VLOOKUP($B159,'Klenow - RC'!$B$2:$F$93,2,FALSE))</f>
        <v>#N/A</v>
      </c>
      <c r="G159" t="e">
        <f>LN(VLOOKUP($B159,'Klenow - RC'!$B$2:$F$93,5,FALSE))</f>
        <v>#N/A</v>
      </c>
      <c r="H159" t="e">
        <f t="shared" si="18"/>
        <v>#N/A</v>
      </c>
      <c r="I159" t="e">
        <f>-LN(VLOOKUP($B159,'Dev Acc 2000'!$D$4:$O$191,4,FALSE))+LN('Dev Acc 2000'!$G$150)</f>
        <v>#N/A</v>
      </c>
      <c r="J159" t="e">
        <f t="shared" si="19"/>
        <v>#N/A</v>
      </c>
      <c r="K159" t="e">
        <f>LN(VLOOKUP($B159,'Dev Acc 2000'!$D$4:$O$191,11,FALSE))-LN('Dev Acc 2000'!$N$150)</f>
        <v>#N/A</v>
      </c>
      <c r="L159" t="e">
        <f t="shared" si="20"/>
        <v>#N/A</v>
      </c>
      <c r="M159" t="e">
        <f>VLOOKUP(A159,'Country FEs'!$A$3:$H$173,3)-US_avg_adoption_lag</f>
        <v>#N/A</v>
      </c>
      <c r="N159" t="e">
        <f t="shared" si="21"/>
        <v>#N/A</v>
      </c>
      <c r="O159" t="e">
        <f t="shared" si="22"/>
        <v>#N/A</v>
      </c>
      <c r="P159" t="e">
        <f t="shared" si="23"/>
        <v>#N/A</v>
      </c>
      <c r="Q159" t="e">
        <f t="shared" si="24"/>
        <v>#N/A</v>
      </c>
      <c r="R159" t="e">
        <f t="shared" si="25"/>
        <v>#N/A</v>
      </c>
      <c r="S159" t="e">
        <f t="shared" si="26"/>
        <v>#N/A</v>
      </c>
    </row>
    <row r="160" spans="1:19">
      <c r="A160">
        <f>'List of countries'!A159</f>
        <v>162</v>
      </c>
      <c r="B160" t="str">
        <f>'List of countries'!B159</f>
        <v>VTS</v>
      </c>
      <c r="C160" t="str">
        <f>'List of countries'!C159</f>
        <v>South Vietnam</v>
      </c>
      <c r="D160" t="str">
        <f>'List of countries'!D159</f>
        <v>other</v>
      </c>
      <c r="E160">
        <f>'List of countries'!E159</f>
        <v>0</v>
      </c>
      <c r="F160" t="e">
        <f>-LN(VLOOKUP($B160,'Klenow - RC'!$B$2:$F$93,2,FALSE))</f>
        <v>#N/A</v>
      </c>
      <c r="G160" t="e">
        <f>LN(VLOOKUP($B160,'Klenow - RC'!$B$2:$F$93,5,FALSE))</f>
        <v>#N/A</v>
      </c>
      <c r="H160" t="e">
        <f t="shared" si="18"/>
        <v>#N/A</v>
      </c>
      <c r="I160" t="e">
        <f>-LN(VLOOKUP($B160,'Dev Acc 2000'!$D$4:$O$191,4,FALSE))+LN('Dev Acc 2000'!$G$150)</f>
        <v>#N/A</v>
      </c>
      <c r="J160" t="e">
        <f t="shared" si="19"/>
        <v>#N/A</v>
      </c>
      <c r="K160" t="e">
        <f>LN(VLOOKUP($B160,'Dev Acc 2000'!$D$4:$O$191,11,FALSE))-LN('Dev Acc 2000'!$N$150)</f>
        <v>#N/A</v>
      </c>
      <c r="L160" t="e">
        <f t="shared" si="20"/>
        <v>#N/A</v>
      </c>
      <c r="M160" t="e">
        <f>VLOOKUP(A160,'Country FEs'!$A$3:$H$173,3)-US_avg_adoption_lag</f>
        <v>#N/A</v>
      </c>
      <c r="N160" t="e">
        <f t="shared" si="21"/>
        <v>#N/A</v>
      </c>
      <c r="O160" t="e">
        <f t="shared" si="22"/>
        <v>#N/A</v>
      </c>
      <c r="P160" t="e">
        <f t="shared" si="23"/>
        <v>#N/A</v>
      </c>
      <c r="Q160" t="e">
        <f t="shared" si="24"/>
        <v>#N/A</v>
      </c>
      <c r="R160" t="e">
        <f t="shared" si="25"/>
        <v>#N/A</v>
      </c>
      <c r="S160" t="e">
        <f t="shared" si="26"/>
        <v>#N/A</v>
      </c>
    </row>
    <row r="161" spans="1:19">
      <c r="A161">
        <f>'List of countries'!A160</f>
        <v>163</v>
      </c>
      <c r="B161" t="str">
        <f>'List of countries'!B160</f>
        <v>YEM</v>
      </c>
      <c r="C161" t="str">
        <f>'List of countries'!C160</f>
        <v>Yemen</v>
      </c>
      <c r="D161" t="str">
        <f>'List of countries'!D160</f>
        <v>other</v>
      </c>
      <c r="E161">
        <f>'List of countries'!E160</f>
        <v>0</v>
      </c>
      <c r="F161" t="e">
        <f>-LN(VLOOKUP($B161,'Klenow - RC'!$B$2:$F$93,2,FALSE))</f>
        <v>#N/A</v>
      </c>
      <c r="G161" t="e">
        <f>LN(VLOOKUP($B161,'Klenow - RC'!$B$2:$F$93,5,FALSE))</f>
        <v>#N/A</v>
      </c>
      <c r="H161" t="e">
        <f t="shared" si="18"/>
        <v>#N/A</v>
      </c>
      <c r="I161">
        <f>-LN(VLOOKUP($B161,'Dev Acc 2000'!$D$4:$O$191,4,FALSE))+LN('Dev Acc 2000'!$G$150)</f>
        <v>3.4582980208092042</v>
      </c>
      <c r="J161">
        <f t="shared" si="19"/>
        <v>-3.4582980208092042</v>
      </c>
      <c r="K161">
        <f>LN(VLOOKUP($B161,'Dev Acc 2000'!$D$4:$O$191,11,FALSE))-LN('Dev Acc 2000'!$N$150)</f>
        <v>-0.99966316487732598</v>
      </c>
      <c r="L161">
        <f t="shared" si="20"/>
        <v>0.36800337675989636</v>
      </c>
      <c r="M161">
        <f>VLOOKUP(A161,'Country FEs'!$A$3:$H$173,3)-US_avg_adoption_lag</f>
        <v>45.769870000000004</v>
      </c>
      <c r="N161">
        <f t="shared" si="21"/>
        <v>-0.64077818000000009</v>
      </c>
      <c r="O161">
        <f t="shared" si="22"/>
        <v>0.52688225523778576</v>
      </c>
      <c r="P161">
        <f t="shared" si="23"/>
        <v>-0.91539740000000014</v>
      </c>
      <c r="Q161" t="e">
        <f t="shared" si="24"/>
        <v>#N/A</v>
      </c>
      <c r="R161">
        <f t="shared" si="25"/>
        <v>-0.42582479529079609</v>
      </c>
      <c r="S161">
        <f t="shared" si="26"/>
        <v>-0.90466043440211774</v>
      </c>
    </row>
    <row r="162" spans="1:19">
      <c r="A162">
        <f>'List of countries'!A161</f>
        <v>164</v>
      </c>
      <c r="B162" t="str">
        <f>'List of countries'!B161</f>
        <v>YUG</v>
      </c>
      <c r="C162" t="str">
        <f>'List of countries'!C161</f>
        <v>Yugoslavia</v>
      </c>
      <c r="D162" t="str">
        <f>'List of countries'!D161</f>
        <v>other</v>
      </c>
      <c r="E162">
        <f>'List of countries'!E161</f>
        <v>0</v>
      </c>
      <c r="F162">
        <f>-LN(VLOOKUP($B162,'Klenow - RC'!$B$2:$F$93,2,FALSE))</f>
        <v>1.0788096613719298</v>
      </c>
      <c r="G162">
        <f>LN(VLOOKUP($B162,'Klenow - RC'!$B$2:$F$93,5,FALSE))</f>
        <v>-0.89159811928378363</v>
      </c>
      <c r="H162">
        <f t="shared" si="18"/>
        <v>0.41</v>
      </c>
      <c r="I162" t="e">
        <f>-LN(VLOOKUP($B162,'Dev Acc 2000'!$D$4:$O$191,4,FALSE))+LN('Dev Acc 2000'!$G$150)</f>
        <v>#N/A</v>
      </c>
      <c r="J162" t="e">
        <f t="shared" si="19"/>
        <v>#N/A</v>
      </c>
      <c r="K162" t="e">
        <f>LN(VLOOKUP($B162,'Dev Acc 2000'!$D$4:$O$191,11,FALSE))-LN('Dev Acc 2000'!$N$150)</f>
        <v>#N/A</v>
      </c>
      <c r="L162" t="e">
        <f t="shared" si="20"/>
        <v>#N/A</v>
      </c>
      <c r="M162">
        <f>VLOOKUP(A162,'Country FEs'!$A$3:$H$173,3)-US_avg_adoption_lag</f>
        <v>28.813300000000005</v>
      </c>
      <c r="N162">
        <f t="shared" si="21"/>
        <v>-0.40338620000000008</v>
      </c>
      <c r="O162">
        <f t="shared" si="22"/>
        <v>0.66805404702390792</v>
      </c>
      <c r="P162">
        <f t="shared" si="23"/>
        <v>-0.57626600000000017</v>
      </c>
      <c r="Q162">
        <f t="shared" si="24"/>
        <v>-0.44802476314509093</v>
      </c>
      <c r="R162" t="e">
        <f t="shared" si="25"/>
        <v>#N/A</v>
      </c>
      <c r="S162" t="e">
        <f t="shared" si="26"/>
        <v>#N/A</v>
      </c>
    </row>
    <row r="163" spans="1:19">
      <c r="A163">
        <f>'List of countries'!A162</f>
        <v>165</v>
      </c>
      <c r="B163" t="str">
        <f>'List of countries'!B162</f>
        <v>ZAI</v>
      </c>
      <c r="C163" t="str">
        <f>'List of countries'!C162</f>
        <v>Democratic Republic of the Congo</v>
      </c>
      <c r="D163" t="str">
        <f>'List of countries'!D162</f>
        <v>other</v>
      </c>
      <c r="E163">
        <f>'List of countries'!E162</f>
        <v>0</v>
      </c>
      <c r="F163">
        <f>-LN(VLOOKUP($B163,'Klenow - RC'!$B$2:$F$93,2,FALSE))</f>
        <v>3.5065578973199818</v>
      </c>
      <c r="G163">
        <f>LN(VLOOKUP($B163,'Klenow - RC'!$B$2:$F$93,5,FALSE))</f>
        <v>-1.9661128563728327</v>
      </c>
      <c r="H163">
        <f t="shared" si="18"/>
        <v>0.14000000000000001</v>
      </c>
      <c r="I163">
        <f>-LN(VLOOKUP($B163,'Dev Acc 2000'!$D$4:$O$191,4,FALSE))+LN('Dev Acc 2000'!$G$150)</f>
        <v>4.5610470806479535</v>
      </c>
      <c r="J163">
        <f t="shared" si="19"/>
        <v>-4.5610470806479535</v>
      </c>
      <c r="K163">
        <f>LN(VLOOKUP($B163,'Dev Acc 2000'!$D$4:$O$191,11,FALSE))-LN('Dev Acc 2000'!$N$150)</f>
        <v>-3.4947080460190083</v>
      </c>
      <c r="L163">
        <f t="shared" si="20"/>
        <v>3.0357610168092335E-2</v>
      </c>
      <c r="M163" t="e">
        <f>VLOOKUP(A163,'Country FEs'!$A$3:$H$173,3)-US_avg_adoption_lag</f>
        <v>#N/A</v>
      </c>
      <c r="N163" t="e">
        <f t="shared" si="21"/>
        <v>#N/A</v>
      </c>
      <c r="O163" t="e">
        <f t="shared" si="22"/>
        <v>#N/A</v>
      </c>
      <c r="P163" t="e">
        <f t="shared" si="23"/>
        <v>#N/A</v>
      </c>
      <c r="Q163">
        <f t="shared" si="24"/>
        <v>-0.61045950238203162</v>
      </c>
      <c r="R163">
        <f t="shared" si="25"/>
        <v>-0.74373683937321577</v>
      </c>
      <c r="S163">
        <f t="shared" si="26"/>
        <v>-1.0750734513876825</v>
      </c>
    </row>
    <row r="164" spans="1:19">
      <c r="A164">
        <f>'List of countries'!A163</f>
        <v>166</v>
      </c>
      <c r="B164" t="str">
        <f>'List of countries'!B163</f>
        <v>ZAM</v>
      </c>
      <c r="C164" t="str">
        <f>'List of countries'!C163</f>
        <v>Zambia</v>
      </c>
      <c r="D164" t="str">
        <f>'List of countries'!D163</f>
        <v>SubSaharan</v>
      </c>
      <c r="E164">
        <f>'List of countries'!E163</f>
        <v>0</v>
      </c>
      <c r="F164">
        <f>-LN(VLOOKUP($B164,'Klenow - RC'!$B$2:$F$93,2,FALSE))</f>
        <v>2.6592600369327779</v>
      </c>
      <c r="G164">
        <f>LN(VLOOKUP($B164,'Klenow - RC'!$B$2:$F$93,5,FALSE))</f>
        <v>-2.120263536200091</v>
      </c>
      <c r="H164">
        <f t="shared" si="18"/>
        <v>0.12000000000000001</v>
      </c>
      <c r="I164">
        <f>-LN(VLOOKUP($B164,'Dev Acc 2000'!$D$4:$O$191,4,FALSE))+LN('Dev Acc 2000'!$G$150)</f>
        <v>3.6812993780588386</v>
      </c>
      <c r="J164">
        <f t="shared" si="19"/>
        <v>-3.6812993780588386</v>
      </c>
      <c r="K164">
        <f>LN(VLOOKUP($B164,'Dev Acc 2000'!$D$4:$O$191,11,FALSE))-LN('Dev Acc 2000'!$N$150)</f>
        <v>-3.3619206342314216</v>
      </c>
      <c r="L164">
        <f t="shared" si="20"/>
        <v>3.4668609242709932E-2</v>
      </c>
      <c r="M164">
        <f>VLOOKUP(A164,'Country FEs'!$A$3:$H$173,3)-US_avg_adoption_lag</f>
        <v>38.387430000000002</v>
      </c>
      <c r="N164">
        <f t="shared" si="21"/>
        <v>-0.53742402</v>
      </c>
      <c r="O164">
        <f t="shared" si="22"/>
        <v>0.58425133534180795</v>
      </c>
      <c r="P164">
        <f t="shared" si="23"/>
        <v>-0.7677486</v>
      </c>
      <c r="Q164">
        <f t="shared" si="24"/>
        <v>-0.63376251035079312</v>
      </c>
      <c r="R164">
        <f t="shared" si="25"/>
        <v>-0.72681741727027993</v>
      </c>
      <c r="S164">
        <f t="shared" si="26"/>
        <v>-0.93912188666247409</v>
      </c>
    </row>
    <row r="165" spans="1:19">
      <c r="A165">
        <f>'List of countries'!A164</f>
        <v>167</v>
      </c>
      <c r="B165" t="str">
        <f>'List of countries'!B164</f>
        <v>ZBW</v>
      </c>
      <c r="C165" t="str">
        <f>'List of countries'!C164</f>
        <v>Zimbabwe</v>
      </c>
      <c r="D165" t="str">
        <f>'List of countries'!D164</f>
        <v>SubSaharan</v>
      </c>
      <c r="E165">
        <f>'List of countries'!E164</f>
        <v>0</v>
      </c>
      <c r="F165">
        <f>-LN(VLOOKUP($B165,'Klenow - RC'!$B$2:$F$93,2,FALSE))</f>
        <v>2.3025850929940455</v>
      </c>
      <c r="G165">
        <f>LN(VLOOKUP($B165,'Klenow - RC'!$B$2:$F$93,5,FALSE))</f>
        <v>-1.3470736479666092</v>
      </c>
      <c r="H165">
        <f t="shared" si="18"/>
        <v>0.26</v>
      </c>
      <c r="I165">
        <f>-LN(VLOOKUP($B165,'Dev Acc 2000'!$D$4:$O$191,4,FALSE))+LN('Dev Acc 2000'!$G$150)</f>
        <v>2.3565461533343459</v>
      </c>
      <c r="J165">
        <f t="shared" si="19"/>
        <v>-2.3565461533343459</v>
      </c>
      <c r="K165">
        <f>LN(VLOOKUP($B165,'Dev Acc 2000'!$D$4:$O$191,11,FALSE))-LN('Dev Acc 2000'!$N$150)</f>
        <v>-1.6119343109728472</v>
      </c>
      <c r="L165">
        <f t="shared" si="20"/>
        <v>0.19950134297455488</v>
      </c>
      <c r="M165">
        <f>VLOOKUP(A165,'Country FEs'!$A$3:$H$173,3)-US_avg_adoption_lag</f>
        <v>26.814790000000002</v>
      </c>
      <c r="N165">
        <f t="shared" si="21"/>
        <v>-0.37540706000000001</v>
      </c>
      <c r="O165">
        <f t="shared" si="22"/>
        <v>0.68700956775059785</v>
      </c>
      <c r="P165">
        <f t="shared" si="23"/>
        <v>-0.5362958000000001</v>
      </c>
      <c r="Q165">
        <f t="shared" si="24"/>
        <v>-0.51687914566462179</v>
      </c>
      <c r="R165">
        <f t="shared" si="25"/>
        <v>-0.5038387713355259</v>
      </c>
      <c r="S165">
        <f t="shared" si="26"/>
        <v>-0.73440151825910582</v>
      </c>
    </row>
    <row r="166" spans="1:19">
      <c r="A166">
        <f>'List of countries'!A165</f>
        <v>169</v>
      </c>
      <c r="B166" t="str">
        <f>'List of countries'!B165</f>
        <v>YPR</v>
      </c>
      <c r="C166" t="str">
        <f>'List of countries'!C165</f>
        <v>South Yemen</v>
      </c>
      <c r="D166" t="str">
        <f>'List of countries'!D165</f>
        <v>other</v>
      </c>
      <c r="E166">
        <f>'List of countries'!E165</f>
        <v>0</v>
      </c>
      <c r="F166" t="e">
        <f>-LN(VLOOKUP($B166,'Klenow - RC'!$B$2:$F$93,2,FALSE))</f>
        <v>#N/A</v>
      </c>
      <c r="G166" t="e">
        <f>LN(VLOOKUP($B166,'Klenow - RC'!$B$2:$F$93,5,FALSE))</f>
        <v>#N/A</v>
      </c>
      <c r="H166" t="e">
        <f t="shared" si="18"/>
        <v>#N/A</v>
      </c>
      <c r="I166" t="e">
        <f>-LN(VLOOKUP($B166,'Dev Acc 2000'!$D$4:$O$191,4,FALSE))+LN('Dev Acc 2000'!$G$150)</f>
        <v>#N/A</v>
      </c>
      <c r="J166" t="e">
        <f t="shared" si="19"/>
        <v>#N/A</v>
      </c>
      <c r="K166" t="e">
        <f>LN(VLOOKUP($B166,'Dev Acc 2000'!$D$4:$O$191,11,FALSE))-LN('Dev Acc 2000'!$N$150)</f>
        <v>#N/A</v>
      </c>
      <c r="L166" t="e">
        <f t="shared" si="20"/>
        <v>#N/A</v>
      </c>
      <c r="M166" t="e">
        <f>VLOOKUP(A166,'Country FEs'!$A$3:$H$173,3)-US_avg_adoption_lag</f>
        <v>#N/A</v>
      </c>
      <c r="N166" t="e">
        <f t="shared" si="21"/>
        <v>#N/A</v>
      </c>
      <c r="O166" t="e">
        <f t="shared" si="22"/>
        <v>#N/A</v>
      </c>
      <c r="P166" t="e">
        <f t="shared" si="23"/>
        <v>#N/A</v>
      </c>
      <c r="Q166" t="e">
        <f t="shared" si="24"/>
        <v>#N/A</v>
      </c>
      <c r="R166" t="e">
        <f t="shared" si="25"/>
        <v>#N/A</v>
      </c>
      <c r="S166" t="e">
        <f t="shared" si="26"/>
        <v>#N/A</v>
      </c>
    </row>
    <row r="167" spans="1:19">
      <c r="A167">
        <f>'List of countries'!A166</f>
        <v>170</v>
      </c>
      <c r="B167" t="str">
        <f>'List of countries'!B166</f>
        <v>ICH</v>
      </c>
      <c r="C167" t="str">
        <f>'List of countries'!C166</f>
        <v>Indochina</v>
      </c>
      <c r="D167" t="str">
        <f>'List of countries'!D166</f>
        <v>other</v>
      </c>
      <c r="E167">
        <f>'List of countries'!E166</f>
        <v>0</v>
      </c>
      <c r="F167" t="e">
        <f>-LN(VLOOKUP($B167,'Klenow - RC'!$B$2:$F$93,2,FALSE))</f>
        <v>#N/A</v>
      </c>
      <c r="G167" t="e">
        <f>LN(VLOOKUP($B167,'Klenow - RC'!$B$2:$F$93,5,FALSE))</f>
        <v>#N/A</v>
      </c>
      <c r="H167" t="e">
        <f t="shared" si="18"/>
        <v>#N/A</v>
      </c>
      <c r="I167" t="e">
        <f>-LN(VLOOKUP($B167,'Dev Acc 2000'!$D$4:$O$191,4,FALSE))+LN('Dev Acc 2000'!$G$150)</f>
        <v>#N/A</v>
      </c>
      <c r="J167" t="e">
        <f t="shared" si="19"/>
        <v>#N/A</v>
      </c>
      <c r="K167" t="e">
        <f>LN(VLOOKUP($B167,'Dev Acc 2000'!$D$4:$O$191,11,FALSE))-LN('Dev Acc 2000'!$N$150)</f>
        <v>#N/A</v>
      </c>
      <c r="L167" t="e">
        <f t="shared" si="20"/>
        <v>#N/A</v>
      </c>
      <c r="M167" t="e">
        <f>VLOOKUP(A167,'Country FEs'!$A$3:$H$173,3)-US_avg_adoption_lag</f>
        <v>#N/A</v>
      </c>
      <c r="N167" t="e">
        <f t="shared" si="21"/>
        <v>#N/A</v>
      </c>
      <c r="O167" t="e">
        <f t="shared" si="22"/>
        <v>#N/A</v>
      </c>
      <c r="P167" t="e">
        <f t="shared" si="23"/>
        <v>#N/A</v>
      </c>
      <c r="Q167" t="e">
        <f t="shared" si="24"/>
        <v>#N/A</v>
      </c>
      <c r="R167" t="e">
        <f t="shared" si="25"/>
        <v>#N/A</v>
      </c>
      <c r="S167" t="e">
        <f t="shared" si="26"/>
        <v>#N/A</v>
      </c>
    </row>
    <row r="168" spans="1:19">
      <c r="A168">
        <f>'List of countries'!A167</f>
        <v>171</v>
      </c>
      <c r="B168" t="str">
        <f>'List of countries'!B167</f>
        <v>FGN</v>
      </c>
      <c r="C168" t="str">
        <f>'List of countries'!C167</f>
        <v>French Guiana</v>
      </c>
      <c r="D168" t="str">
        <f>'List of countries'!D167</f>
        <v>other</v>
      </c>
      <c r="E168">
        <f>'List of countries'!E167</f>
        <v>0</v>
      </c>
      <c r="F168" t="e">
        <f>-LN(VLOOKUP($B168,'Klenow - RC'!$B$2:$F$93,2,FALSE))</f>
        <v>#N/A</v>
      </c>
      <c r="G168" t="e">
        <f>LN(VLOOKUP($B168,'Klenow - RC'!$B$2:$F$93,5,FALSE))</f>
        <v>#N/A</v>
      </c>
      <c r="H168" t="e">
        <f t="shared" si="18"/>
        <v>#N/A</v>
      </c>
      <c r="I168" t="e">
        <f>-LN(VLOOKUP($B168,'Dev Acc 2000'!$D$4:$O$191,4,FALSE))+LN('Dev Acc 2000'!$G$150)</f>
        <v>#N/A</v>
      </c>
      <c r="J168" t="e">
        <f t="shared" si="19"/>
        <v>#N/A</v>
      </c>
      <c r="K168" t="e">
        <f>LN(VLOOKUP($B168,'Dev Acc 2000'!$D$4:$O$191,11,FALSE))-LN('Dev Acc 2000'!$N$150)</f>
        <v>#N/A</v>
      </c>
      <c r="L168" t="e">
        <f t="shared" si="20"/>
        <v>#N/A</v>
      </c>
      <c r="M168" t="e">
        <f>VLOOKUP(A168,'Country FEs'!$A$3:$H$173,3)-US_avg_adoption_lag</f>
        <v>#N/A</v>
      </c>
      <c r="N168" t="e">
        <f t="shared" si="21"/>
        <v>#N/A</v>
      </c>
      <c r="O168" t="e">
        <f t="shared" si="22"/>
        <v>#N/A</v>
      </c>
      <c r="P168" t="e">
        <f t="shared" si="23"/>
        <v>#N/A</v>
      </c>
      <c r="Q168" t="e">
        <f t="shared" si="24"/>
        <v>#N/A</v>
      </c>
      <c r="R168" t="e">
        <f t="shared" si="25"/>
        <v>#N/A</v>
      </c>
      <c r="S168" t="e">
        <f t="shared" si="26"/>
        <v>#N/A</v>
      </c>
    </row>
    <row r="170" spans="1:19">
      <c r="E170" t="s">
        <v>530</v>
      </c>
      <c r="G170">
        <f>correlwithna(G3:G168,N3:N168)</f>
        <v>0.41204261805068787</v>
      </c>
      <c r="I170" t="s">
        <v>737</v>
      </c>
      <c r="J170" s="14">
        <f>correlwithna(J3:J168,P3:P168)</f>
        <v>0.54747948720412276</v>
      </c>
    </row>
    <row r="171" spans="1:19">
      <c r="E171" t="s">
        <v>531</v>
      </c>
      <c r="I171" t="s">
        <v>738</v>
      </c>
      <c r="J171">
        <f>correlwithna(K3:K168,N3:N168)</f>
        <v>0.44419218558424906</v>
      </c>
      <c r="L171">
        <f t="array" ref="L171:M175">linestwithna(N3:N168,G3:G168,TRUE,TRUE)</f>
        <v>0.1511703224071082</v>
      </c>
      <c r="M171">
        <v>-0.31324158799539004</v>
      </c>
    </row>
    <row r="172" spans="1:19">
      <c r="E172" t="s">
        <v>709</v>
      </c>
      <c r="G172">
        <f>correlwithna(G3:G168,K3:K168)</f>
        <v>0.74339378006386736</v>
      </c>
      <c r="L172">
        <v>3.7374572513135418E-2</v>
      </c>
      <c r="M172">
        <v>3.5524738627788925E-2</v>
      </c>
    </row>
    <row r="173" spans="1:19">
      <c r="L173">
        <v>0.16977911909006443</v>
      </c>
      <c r="M173">
        <v>0.22115676193030614</v>
      </c>
    </row>
    <row r="174" spans="1:19">
      <c r="E174" t="s">
        <v>712</v>
      </c>
      <c r="G174">
        <f>correlwithna(I3:I168,N3:N168)</f>
        <v>-0.54747948720412287</v>
      </c>
      <c r="L174">
        <v>16.359898720348614</v>
      </c>
      <c r="M174">
        <v>80</v>
      </c>
    </row>
    <row r="175" spans="1:19">
      <c r="L175">
        <v>0.80016777274558404</v>
      </c>
      <c r="M175">
        <v>3.9128250677998482</v>
      </c>
    </row>
    <row r="177" spans="11:13">
      <c r="L177">
        <f t="array" ref="L177:M181">linestwithna(N3:N168,K3:K168,TRUE,TRUE)</f>
        <v>0.12741736490806113</v>
      </c>
      <c r="M177">
        <v>-0.29845034902647455</v>
      </c>
    </row>
    <row r="178" spans="11:13">
      <c r="L178">
        <v>2.6094360487452593E-2</v>
      </c>
      <c r="M178">
        <v>3.6408783476964891E-2</v>
      </c>
    </row>
    <row r="179" spans="11:13">
      <c r="L179">
        <v>0.19730669773411119</v>
      </c>
      <c r="M179">
        <v>0.21128397690883144</v>
      </c>
    </row>
    <row r="180" spans="11:13">
      <c r="L180">
        <v>23.843166033879719</v>
      </c>
      <c r="M180">
        <v>97</v>
      </c>
    </row>
    <row r="181" spans="11:13">
      <c r="L181">
        <v>1.064380841199787</v>
      </c>
      <c r="M181">
        <v>4.3301691331459269</v>
      </c>
    </row>
    <row r="183" spans="11:13">
      <c r="K183" t="s">
        <v>739</v>
      </c>
      <c r="L183">
        <f t="array" ref="L183:M187">linestwithna(P3:P168,J3:J168,TRUE,TRUE)</f>
        <v>0.15453471981239655</v>
      </c>
      <c r="M183">
        <v>-0.37023331872860177</v>
      </c>
    </row>
    <row r="184" spans="11:13">
      <c r="L184">
        <v>2.1126852318044276E-2</v>
      </c>
      <c r="M184">
        <v>4.7575329250296568E-2</v>
      </c>
    </row>
    <row r="185" spans="11:13">
      <c r="L185">
        <v>0.29973378890928931</v>
      </c>
      <c r="M185">
        <v>0.28418053721720332</v>
      </c>
    </row>
    <row r="186" spans="11:13">
      <c r="L186">
        <v>53.503543395738419</v>
      </c>
      <c r="M186">
        <v>125</v>
      </c>
    </row>
    <row r="187" spans="11:13">
      <c r="L187">
        <v>4.3208700683187988</v>
      </c>
      <c r="M187">
        <v>10.094822216632286</v>
      </c>
    </row>
  </sheetData>
  <mergeCells count="3">
    <mergeCell ref="L1:M1"/>
    <mergeCell ref="F1:G1"/>
    <mergeCell ref="I1:J1"/>
  </mergeCells>
  <phoneticPr fontId="1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 enableFormatConditionsCalculation="0">
    <tabColor indexed="55"/>
  </sheetPr>
  <dimension ref="A1:E18"/>
  <sheetViews>
    <sheetView workbookViewId="0">
      <selection activeCell="D16" sqref="D16"/>
    </sheetView>
  </sheetViews>
  <sheetFormatPr defaultRowHeight="12.75"/>
  <cols>
    <col min="1" max="1" width="9.7109375" customWidth="1"/>
    <col min="2" max="2" width="19.7109375" customWidth="1"/>
    <col min="3" max="3" width="12.28515625" customWidth="1"/>
  </cols>
  <sheetData>
    <row r="1" spans="1:5">
      <c r="A1" t="s">
        <v>225</v>
      </c>
      <c r="B1" t="s">
        <v>174</v>
      </c>
      <c r="C1" t="s">
        <v>227</v>
      </c>
      <c r="D1" t="s">
        <v>234</v>
      </c>
      <c r="E1" t="s">
        <v>193</v>
      </c>
    </row>
    <row r="2" spans="1:5">
      <c r="A2">
        <v>1</v>
      </c>
      <c r="B2" t="s">
        <v>180</v>
      </c>
      <c r="C2">
        <v>1885</v>
      </c>
      <c r="D2">
        <f>VLOOKUP(A2,'Technology FEs'!$A$2:$B$16,2)-AVERAGE('Technology FEs'!B$2:B$16)+AVERAGE('Technology FEs table'!E$2:E$16)</f>
        <v>38.212278666666649</v>
      </c>
      <c r="E2">
        <f>VLOOKUP(A2,'Technology sum stats table'!$B$2:$D$16,3)</f>
        <v>43.682079999999999</v>
      </c>
    </row>
    <row r="3" spans="1:5">
      <c r="A3">
        <v>2</v>
      </c>
      <c r="B3" t="s">
        <v>187</v>
      </c>
      <c r="C3">
        <v>1973</v>
      </c>
      <c r="D3">
        <f>VLOOKUP(A3,'Technology FEs'!$A$2:$B$16,2)-AVERAGE('Technology FEs'!B$2:B$16)+AVERAGE('Technology FEs table'!E$2:E$16)</f>
        <v>14.822738666666652</v>
      </c>
      <c r="E3">
        <f>VLOOKUP(A3,'Technology sum stats table'!$B$2:$D$16,3)</f>
        <v>13.956910000000001</v>
      </c>
    </row>
    <row r="4" spans="1:5">
      <c r="A4">
        <v>3</v>
      </c>
      <c r="B4" t="s">
        <v>186</v>
      </c>
      <c r="C4">
        <v>1882</v>
      </c>
      <c r="D4">
        <f>VLOOKUP(A4,'Technology FEs'!$A$2:$B$16,2)-AVERAGE('Technology FEs'!B$2:B$16)+AVERAGE('Technology FEs table'!E$2:E$16)</f>
        <v>46.151848666666652</v>
      </c>
      <c r="E4">
        <f>VLOOKUP(A4,'Technology sum stats table'!$B$2:$D$16,3)</f>
        <v>56.366050000000001</v>
      </c>
    </row>
    <row r="5" spans="1:5">
      <c r="A5">
        <v>4</v>
      </c>
      <c r="B5" t="s">
        <v>181</v>
      </c>
      <c r="C5">
        <v>1885</v>
      </c>
      <c r="D5">
        <f>VLOOKUP(A5,'Technology FEs'!$A$2:$B$16,2)-AVERAGE('Technology FEs'!B$2:B$16)+AVERAGE('Technology FEs table'!E$2:E$16)</f>
        <v>36.635048666666648</v>
      </c>
      <c r="E5">
        <f>VLOOKUP(A5,'Technology sum stats table'!$B$2:$D$16,3)</f>
        <v>39.12677</v>
      </c>
    </row>
    <row r="6" spans="1:5">
      <c r="A6">
        <v>5</v>
      </c>
      <c r="B6" t="s">
        <v>218</v>
      </c>
      <c r="C6">
        <v>1950</v>
      </c>
      <c r="D6">
        <f>VLOOKUP(A6,'Technology FEs'!$A$2:$B$16,2)-AVERAGE('Technology FEs'!B$2:B$16)+AVERAGE('Technology FEs table'!E$2:E$16)</f>
        <v>21.650658666666644</v>
      </c>
      <c r="E6">
        <f>VLOOKUP(A6,'Technology sum stats table'!$B$2:$D$16,3)</f>
        <v>16.306370000000001</v>
      </c>
    </row>
    <row r="7" spans="1:5">
      <c r="A7">
        <v>6</v>
      </c>
      <c r="B7" t="s">
        <v>219</v>
      </c>
      <c r="C7">
        <v>1825</v>
      </c>
      <c r="D7">
        <f>VLOOKUP(A7,'Technology FEs'!$A$2:$B$16,2)-AVERAGE('Technology FEs'!B$2:B$16)+AVERAGE('Technology FEs table'!E$2:E$16)</f>
        <v>80.716348666666647</v>
      </c>
      <c r="E7">
        <f>VLOOKUP(A7,'Technology sum stats table'!$B$2:$D$16,3)</f>
        <v>79.594269999999995</v>
      </c>
    </row>
    <row r="8" spans="1:5">
      <c r="A8">
        <v>7</v>
      </c>
      <c r="B8" t="s">
        <v>220</v>
      </c>
      <c r="C8">
        <v>1825</v>
      </c>
      <c r="D8">
        <f>VLOOKUP(A8,'Technology FEs'!$A$2:$B$16,2)-AVERAGE('Technology FEs'!B$2:B$16)+AVERAGE('Technology FEs table'!E$2:E$16)</f>
        <v>93.966148666666641</v>
      </c>
      <c r="E8">
        <f>VLOOKUP(A8,'Technology sum stats table'!$B$2:$D$16,3)</f>
        <v>97.318770000000001</v>
      </c>
    </row>
    <row r="9" spans="1:5">
      <c r="A9">
        <v>8</v>
      </c>
      <c r="B9" t="s">
        <v>221</v>
      </c>
      <c r="C9">
        <v>1835</v>
      </c>
      <c r="D9">
        <f>VLOOKUP(A9,'Technology FEs'!$A$2:$B$16,2)-AVERAGE('Technology FEs'!B$2:B$16)+AVERAGE('Technology FEs table'!E$2:E$16)</f>
        <v>49.511448666666638</v>
      </c>
      <c r="E9">
        <f>VLOOKUP(A9,'Technology sum stats table'!$B$2:$D$16,3)</f>
        <v>45.6143</v>
      </c>
    </row>
    <row r="10" spans="1:5">
      <c r="A10">
        <v>9</v>
      </c>
      <c r="B10" t="s">
        <v>222</v>
      </c>
      <c r="C10">
        <v>1876</v>
      </c>
      <c r="D10">
        <f>VLOOKUP(A10,'Technology FEs'!$A$2:$B$16,2)-AVERAGE('Technology FEs'!B$2:B$16)+AVERAGE('Technology FEs table'!E$2:E$16)</f>
        <v>45.04404866666664</v>
      </c>
      <c r="E10">
        <f>VLOOKUP(A10,'Technology sum stats table'!$B$2:$D$16,3)</f>
        <v>51.542430000000003</v>
      </c>
    </row>
    <row r="11" spans="1:5">
      <c r="A11">
        <v>10</v>
      </c>
      <c r="B11" t="s">
        <v>223</v>
      </c>
      <c r="C11">
        <v>1903</v>
      </c>
      <c r="D11">
        <f>VLOOKUP(A11,'Technology FEs'!$A$2:$B$16,2)-AVERAGE('Technology FEs'!B$2:B$16)+AVERAGE('Technology FEs table'!E$2:E$16)</f>
        <v>44.790348666666645</v>
      </c>
      <c r="E11">
        <f>VLOOKUP(A11,'Technology sum stats table'!$B$2:$D$16,3)</f>
        <v>43.489849999999997</v>
      </c>
    </row>
    <row r="12" spans="1:5">
      <c r="A12">
        <v>11</v>
      </c>
      <c r="B12" t="s">
        <v>224</v>
      </c>
      <c r="C12">
        <v>1903</v>
      </c>
      <c r="D12">
        <f>VLOOKUP(A12,'Technology FEs'!$A$2:$B$16,2)-AVERAGE('Technology FEs'!B$2:B$16)+AVERAGE('Technology FEs table'!E$2:E$16)</f>
        <v>35.367198666666638</v>
      </c>
      <c r="E12">
        <f>VLOOKUP(A12,'Technology sum stats table'!$B$2:$D$16,3)</f>
        <v>33.896279999999997</v>
      </c>
    </row>
    <row r="13" spans="1:5">
      <c r="A13">
        <v>12</v>
      </c>
      <c r="B13" t="s">
        <v>216</v>
      </c>
      <c r="C13">
        <v>1973</v>
      </c>
      <c r="D13">
        <f>VLOOKUP(A13,'Technology FEs'!$A$2:$B$16,2)-AVERAGE('Technology FEs'!B$2:B$16)+AVERAGE('Technology FEs table'!E$2:E$16)</f>
        <v>13.190458666666643</v>
      </c>
      <c r="E13">
        <f>VLOOKUP(A13,'Technology sum stats table'!$B$2:$D$16,3)</f>
        <v>14.61374</v>
      </c>
    </row>
    <row r="14" spans="1:5">
      <c r="A14">
        <v>13</v>
      </c>
      <c r="B14" t="s">
        <v>195</v>
      </c>
      <c r="C14">
        <v>1983</v>
      </c>
      <c r="D14">
        <f>VLOOKUP(A14,'Technology FEs'!$A$2:$B$16,2)-AVERAGE('Technology FEs'!B$2:B$16)+AVERAGE('Technology FEs table'!E$2:E$16)</f>
        <v>9.8622886666666432</v>
      </c>
      <c r="E14">
        <f>VLOOKUP(A14,'Technology sum stats table'!$B$2:$D$16,3)</f>
        <v>7.7982440000000004</v>
      </c>
    </row>
    <row r="15" spans="1:5">
      <c r="A15">
        <v>14</v>
      </c>
      <c r="B15" t="s">
        <v>217</v>
      </c>
      <c r="C15">
        <v>1977</v>
      </c>
      <c r="D15">
        <f>VLOOKUP(A15,'Technology FEs'!$A$2:$B$16,2)-AVERAGE('Technology FEs'!B$2:B$16)+AVERAGE('Technology FEs table'!E$2:E$16)</f>
        <v>20.705428666666648</v>
      </c>
      <c r="E15">
        <f>VLOOKUP(A15,'Technology sum stats table'!$B$2:$D$16,3)</f>
        <v>5.3016759999999996</v>
      </c>
    </row>
    <row r="16" spans="1:5">
      <c r="A16">
        <v>15</v>
      </c>
      <c r="B16" t="s">
        <v>196</v>
      </c>
      <c r="C16">
        <v>1788</v>
      </c>
      <c r="D16">
        <f>VLOOKUP(A16,'Technology FEs'!$A$2:$B$16,2)-AVERAGE('Technology FEs'!B$2:B$16)+AVERAGE('Technology FEs table'!E$2:E$16)</f>
        <v>118.43274866666664</v>
      </c>
      <c r="E16">
        <f>VLOOKUP(A16,'Technology sum stats table'!$B$2:$D$16,3)</f>
        <v>120.4513</v>
      </c>
    </row>
    <row r="18" spans="1:1">
      <c r="A18" t="s">
        <v>749</v>
      </c>
    </row>
  </sheetData>
  <phoneticPr fontId="1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0" enableFormatConditionsCalculation="0">
    <tabColor indexed="55"/>
  </sheetPr>
  <dimension ref="A1:D165"/>
  <sheetViews>
    <sheetView topLeftCell="A121" workbookViewId="0"/>
  </sheetViews>
  <sheetFormatPr defaultRowHeight="12.75"/>
  <sheetData>
    <row r="1" spans="1:4">
      <c r="A1">
        <v>6</v>
      </c>
      <c r="B1" t="str">
        <f>INDEX(Technology_names,A1,1)</f>
        <v>Internet users</v>
      </c>
    </row>
    <row r="2" spans="1:4">
      <c r="B2">
        <f>3*(A1-1)+1</f>
        <v>16</v>
      </c>
      <c r="C2">
        <f>B2+1</f>
        <v>17</v>
      </c>
      <c r="D2">
        <f>C2+1</f>
        <v>18</v>
      </c>
    </row>
    <row r="3" spans="1:4">
      <c r="B3" t="s">
        <v>543</v>
      </c>
      <c r="C3" t="s">
        <v>1</v>
      </c>
      <c r="D3" t="s">
        <v>2</v>
      </c>
    </row>
    <row r="4" spans="1:4">
      <c r="A4">
        <v>1</v>
      </c>
      <c r="B4">
        <f t="shared" ref="B4:D23" si="0">INDEX(USFit_data,$A4,B$2)</f>
        <v>1990</v>
      </c>
      <c r="C4">
        <f t="shared" si="0"/>
        <v>14.512320000000001</v>
      </c>
      <c r="D4">
        <f t="shared" si="0"/>
        <v>14.2751</v>
      </c>
    </row>
    <row r="5" spans="1:4">
      <c r="A5">
        <f>A4+1</f>
        <v>2</v>
      </c>
      <c r="B5">
        <f t="shared" si="0"/>
        <v>1991</v>
      </c>
      <c r="C5">
        <f t="shared" si="0"/>
        <v>14.918799999999999</v>
      </c>
      <c r="D5">
        <f t="shared" si="0"/>
        <v>15.023569999999999</v>
      </c>
    </row>
    <row r="6" spans="1:4">
      <c r="A6">
        <f t="shared" ref="A6:A69" si="1">A5+1</f>
        <v>3</v>
      </c>
      <c r="B6">
        <f t="shared" si="0"/>
        <v>1992</v>
      </c>
      <c r="C6">
        <f t="shared" si="0"/>
        <v>15.32578</v>
      </c>
      <c r="D6">
        <f t="shared" si="0"/>
        <v>15.579840000000001</v>
      </c>
    </row>
    <row r="7" spans="1:4">
      <c r="A7">
        <f t="shared" si="1"/>
        <v>4</v>
      </c>
      <c r="B7">
        <f t="shared" si="0"/>
        <v>1993</v>
      </c>
      <c r="C7">
        <f t="shared" si="0"/>
        <v>15.61429</v>
      </c>
      <c r="D7">
        <f t="shared" si="0"/>
        <v>16.081289999999999</v>
      </c>
    </row>
    <row r="8" spans="1:4">
      <c r="A8">
        <f t="shared" si="1"/>
        <v>5</v>
      </c>
      <c r="B8">
        <f t="shared" si="0"/>
        <v>1994</v>
      </c>
      <c r="C8">
        <f t="shared" si="0"/>
        <v>16.388120000000001</v>
      </c>
      <c r="D8">
        <f t="shared" si="0"/>
        <v>16.504100000000001</v>
      </c>
    </row>
    <row r="9" spans="1:4">
      <c r="A9">
        <f t="shared" si="1"/>
        <v>6</v>
      </c>
      <c r="B9">
        <f t="shared" si="0"/>
        <v>1995</v>
      </c>
      <c r="C9">
        <f t="shared" si="0"/>
        <v>17.042349999999999</v>
      </c>
      <c r="D9">
        <f t="shared" si="0"/>
        <v>16.926760000000002</v>
      </c>
    </row>
    <row r="10" spans="1:4">
      <c r="A10">
        <f t="shared" si="1"/>
        <v>7</v>
      </c>
      <c r="B10">
        <f t="shared" si="0"/>
        <v>1996</v>
      </c>
      <c r="C10">
        <f t="shared" si="0"/>
        <v>17.628820000000001</v>
      </c>
      <c r="D10">
        <f t="shared" si="0"/>
        <v>17.297540000000001</v>
      </c>
    </row>
    <row r="11" spans="1:4">
      <c r="A11">
        <f t="shared" si="1"/>
        <v>8</v>
      </c>
      <c r="B11">
        <f t="shared" si="0"/>
        <v>1997</v>
      </c>
      <c r="C11">
        <f t="shared" si="0"/>
        <v>17.914840000000002</v>
      </c>
      <c r="D11">
        <f t="shared" si="0"/>
        <v>17.633870000000002</v>
      </c>
    </row>
    <row r="12" spans="1:4">
      <c r="A12">
        <f t="shared" si="1"/>
        <v>9</v>
      </c>
      <c r="B12">
        <f t="shared" si="0"/>
        <v>1998</v>
      </c>
      <c r="C12">
        <f t="shared" si="0"/>
        <v>18.25816</v>
      </c>
      <c r="D12">
        <f t="shared" si="0"/>
        <v>17.96095</v>
      </c>
    </row>
    <row r="13" spans="1:4">
      <c r="A13">
        <f t="shared" si="1"/>
        <v>10</v>
      </c>
      <c r="B13">
        <f t="shared" si="0"/>
        <v>1999</v>
      </c>
      <c r="C13">
        <f t="shared" si="0"/>
        <v>18.440480000000001</v>
      </c>
      <c r="D13">
        <f t="shared" si="0"/>
        <v>18.268750000000001</v>
      </c>
    </row>
    <row r="14" spans="1:4">
      <c r="A14">
        <f t="shared" si="1"/>
        <v>11</v>
      </c>
      <c r="B14">
        <f t="shared" si="0"/>
        <v>2000</v>
      </c>
      <c r="C14">
        <f t="shared" si="0"/>
        <v>18.63579</v>
      </c>
      <c r="D14">
        <f t="shared" si="0"/>
        <v>18.581340000000001</v>
      </c>
    </row>
    <row r="15" spans="1:4">
      <c r="A15">
        <f t="shared" si="1"/>
        <v>12</v>
      </c>
      <c r="B15">
        <f t="shared" si="0"/>
        <v>2001</v>
      </c>
      <c r="C15">
        <f t="shared" si="0"/>
        <v>18.77835</v>
      </c>
      <c r="D15">
        <f t="shared" si="0"/>
        <v>18.945550000000001</v>
      </c>
    </row>
    <row r="16" spans="1:4">
      <c r="A16">
        <f t="shared" si="1"/>
        <v>13</v>
      </c>
      <c r="B16">
        <f t="shared" si="0"/>
        <v>2002</v>
      </c>
      <c r="C16">
        <f t="shared" si="0"/>
        <v>18.884409999999999</v>
      </c>
      <c r="D16">
        <f t="shared" si="0"/>
        <v>19.282330000000002</v>
      </c>
    </row>
    <row r="17" spans="1:4">
      <c r="A17">
        <f t="shared" si="1"/>
        <v>14</v>
      </c>
      <c r="B17" t="e">
        <f t="shared" si="0"/>
        <v>#N/A</v>
      </c>
      <c r="C17" t="e">
        <f t="shared" si="0"/>
        <v>#N/A</v>
      </c>
      <c r="D17" t="e">
        <f t="shared" si="0"/>
        <v>#N/A</v>
      </c>
    </row>
    <row r="18" spans="1:4">
      <c r="A18">
        <f t="shared" si="1"/>
        <v>15</v>
      </c>
      <c r="B18" t="e">
        <f t="shared" si="0"/>
        <v>#N/A</v>
      </c>
      <c r="C18" t="e">
        <f t="shared" si="0"/>
        <v>#N/A</v>
      </c>
      <c r="D18" t="e">
        <f t="shared" si="0"/>
        <v>#N/A</v>
      </c>
    </row>
    <row r="19" spans="1:4">
      <c r="A19">
        <f t="shared" si="1"/>
        <v>16</v>
      </c>
      <c r="B19" t="e">
        <f t="shared" si="0"/>
        <v>#N/A</v>
      </c>
      <c r="C19" t="e">
        <f t="shared" si="0"/>
        <v>#N/A</v>
      </c>
      <c r="D19" t="e">
        <f t="shared" si="0"/>
        <v>#N/A</v>
      </c>
    </row>
    <row r="20" spans="1:4">
      <c r="A20">
        <f t="shared" si="1"/>
        <v>17</v>
      </c>
      <c r="B20" t="e">
        <f t="shared" si="0"/>
        <v>#N/A</v>
      </c>
      <c r="C20" t="e">
        <f t="shared" si="0"/>
        <v>#N/A</v>
      </c>
      <c r="D20" t="e">
        <f t="shared" si="0"/>
        <v>#N/A</v>
      </c>
    </row>
    <row r="21" spans="1:4">
      <c r="A21">
        <f t="shared" si="1"/>
        <v>18</v>
      </c>
      <c r="B21" t="e">
        <f t="shared" si="0"/>
        <v>#N/A</v>
      </c>
      <c r="C21" t="e">
        <f t="shared" si="0"/>
        <v>#N/A</v>
      </c>
      <c r="D21" t="e">
        <f t="shared" si="0"/>
        <v>#N/A</v>
      </c>
    </row>
    <row r="22" spans="1:4">
      <c r="A22">
        <f t="shared" si="1"/>
        <v>19</v>
      </c>
      <c r="B22" t="e">
        <f t="shared" si="0"/>
        <v>#N/A</v>
      </c>
      <c r="C22" t="e">
        <f t="shared" si="0"/>
        <v>#N/A</v>
      </c>
      <c r="D22" t="e">
        <f t="shared" si="0"/>
        <v>#N/A</v>
      </c>
    </row>
    <row r="23" spans="1:4">
      <c r="A23">
        <f t="shared" si="1"/>
        <v>20</v>
      </c>
      <c r="B23" t="e">
        <f t="shared" si="0"/>
        <v>#N/A</v>
      </c>
      <c r="C23" t="e">
        <f t="shared" si="0"/>
        <v>#N/A</v>
      </c>
      <c r="D23" t="e">
        <f t="shared" si="0"/>
        <v>#N/A</v>
      </c>
    </row>
    <row r="24" spans="1:4">
      <c r="A24">
        <f t="shared" si="1"/>
        <v>21</v>
      </c>
      <c r="B24" t="e">
        <f t="shared" ref="B24:D43" si="2">INDEX(USFit_data,$A24,B$2)</f>
        <v>#N/A</v>
      </c>
      <c r="C24" t="e">
        <f t="shared" si="2"/>
        <v>#N/A</v>
      </c>
      <c r="D24" t="e">
        <f t="shared" si="2"/>
        <v>#N/A</v>
      </c>
    </row>
    <row r="25" spans="1:4">
      <c r="A25">
        <f t="shared" si="1"/>
        <v>22</v>
      </c>
      <c r="B25" t="e">
        <f t="shared" si="2"/>
        <v>#N/A</v>
      </c>
      <c r="C25" t="e">
        <f t="shared" si="2"/>
        <v>#N/A</v>
      </c>
      <c r="D25" t="e">
        <f t="shared" si="2"/>
        <v>#N/A</v>
      </c>
    </row>
    <row r="26" spans="1:4">
      <c r="A26">
        <f t="shared" si="1"/>
        <v>23</v>
      </c>
      <c r="B26" t="e">
        <f t="shared" si="2"/>
        <v>#N/A</v>
      </c>
      <c r="C26" t="e">
        <f t="shared" si="2"/>
        <v>#N/A</v>
      </c>
      <c r="D26" t="e">
        <f t="shared" si="2"/>
        <v>#N/A</v>
      </c>
    </row>
    <row r="27" spans="1:4">
      <c r="A27">
        <f t="shared" si="1"/>
        <v>24</v>
      </c>
      <c r="B27" t="e">
        <f t="shared" si="2"/>
        <v>#N/A</v>
      </c>
      <c r="C27" t="e">
        <f t="shared" si="2"/>
        <v>#N/A</v>
      </c>
      <c r="D27" t="e">
        <f t="shared" si="2"/>
        <v>#N/A</v>
      </c>
    </row>
    <row r="28" spans="1:4">
      <c r="A28">
        <f t="shared" si="1"/>
        <v>25</v>
      </c>
      <c r="B28" t="e">
        <f t="shared" si="2"/>
        <v>#N/A</v>
      </c>
      <c r="C28" t="e">
        <f t="shared" si="2"/>
        <v>#N/A</v>
      </c>
      <c r="D28" t="e">
        <f t="shared" si="2"/>
        <v>#N/A</v>
      </c>
    </row>
    <row r="29" spans="1:4">
      <c r="A29">
        <f t="shared" si="1"/>
        <v>26</v>
      </c>
      <c r="B29" t="e">
        <f t="shared" si="2"/>
        <v>#N/A</v>
      </c>
      <c r="C29" t="e">
        <f t="shared" si="2"/>
        <v>#N/A</v>
      </c>
      <c r="D29" t="e">
        <f t="shared" si="2"/>
        <v>#N/A</v>
      </c>
    </row>
    <row r="30" spans="1:4">
      <c r="A30">
        <f t="shared" si="1"/>
        <v>27</v>
      </c>
      <c r="B30" t="e">
        <f t="shared" si="2"/>
        <v>#N/A</v>
      </c>
      <c r="C30" t="e">
        <f t="shared" si="2"/>
        <v>#N/A</v>
      </c>
      <c r="D30" t="e">
        <f t="shared" si="2"/>
        <v>#N/A</v>
      </c>
    </row>
    <row r="31" spans="1:4">
      <c r="A31">
        <f t="shared" si="1"/>
        <v>28</v>
      </c>
      <c r="B31" t="e">
        <f t="shared" si="2"/>
        <v>#N/A</v>
      </c>
      <c r="C31" t="e">
        <f t="shared" si="2"/>
        <v>#N/A</v>
      </c>
      <c r="D31" t="e">
        <f t="shared" si="2"/>
        <v>#N/A</v>
      </c>
    </row>
    <row r="32" spans="1:4">
      <c r="A32">
        <f t="shared" si="1"/>
        <v>29</v>
      </c>
      <c r="B32" t="e">
        <f t="shared" si="2"/>
        <v>#N/A</v>
      </c>
      <c r="C32" t="e">
        <f t="shared" si="2"/>
        <v>#N/A</v>
      </c>
      <c r="D32" t="e">
        <f t="shared" si="2"/>
        <v>#N/A</v>
      </c>
    </row>
    <row r="33" spans="1:4">
      <c r="A33">
        <f t="shared" si="1"/>
        <v>30</v>
      </c>
      <c r="B33" t="e">
        <f t="shared" si="2"/>
        <v>#N/A</v>
      </c>
      <c r="C33" t="e">
        <f t="shared" si="2"/>
        <v>#N/A</v>
      </c>
      <c r="D33" t="e">
        <f t="shared" si="2"/>
        <v>#N/A</v>
      </c>
    </row>
    <row r="34" spans="1:4">
      <c r="A34">
        <f t="shared" si="1"/>
        <v>31</v>
      </c>
      <c r="B34" t="e">
        <f t="shared" si="2"/>
        <v>#N/A</v>
      </c>
      <c r="C34" t="e">
        <f t="shared" si="2"/>
        <v>#N/A</v>
      </c>
      <c r="D34" t="e">
        <f t="shared" si="2"/>
        <v>#N/A</v>
      </c>
    </row>
    <row r="35" spans="1:4">
      <c r="A35">
        <f t="shared" si="1"/>
        <v>32</v>
      </c>
      <c r="B35" t="e">
        <f t="shared" si="2"/>
        <v>#N/A</v>
      </c>
      <c r="C35" t="e">
        <f t="shared" si="2"/>
        <v>#N/A</v>
      </c>
      <c r="D35" t="e">
        <f t="shared" si="2"/>
        <v>#N/A</v>
      </c>
    </row>
    <row r="36" spans="1:4">
      <c r="A36">
        <f t="shared" si="1"/>
        <v>33</v>
      </c>
      <c r="B36" t="e">
        <f t="shared" si="2"/>
        <v>#N/A</v>
      </c>
      <c r="C36" t="e">
        <f t="shared" si="2"/>
        <v>#N/A</v>
      </c>
      <c r="D36" t="e">
        <f t="shared" si="2"/>
        <v>#N/A</v>
      </c>
    </row>
    <row r="37" spans="1:4">
      <c r="A37">
        <f t="shared" si="1"/>
        <v>34</v>
      </c>
      <c r="B37" t="e">
        <f t="shared" si="2"/>
        <v>#N/A</v>
      </c>
      <c r="C37" t="e">
        <f t="shared" si="2"/>
        <v>#N/A</v>
      </c>
      <c r="D37" t="e">
        <f t="shared" si="2"/>
        <v>#N/A</v>
      </c>
    </row>
    <row r="38" spans="1:4">
      <c r="A38">
        <f t="shared" si="1"/>
        <v>35</v>
      </c>
      <c r="B38" t="e">
        <f t="shared" si="2"/>
        <v>#N/A</v>
      </c>
      <c r="C38" t="e">
        <f t="shared" si="2"/>
        <v>#N/A</v>
      </c>
      <c r="D38" t="e">
        <f t="shared" si="2"/>
        <v>#N/A</v>
      </c>
    </row>
    <row r="39" spans="1:4">
      <c r="A39">
        <f t="shared" si="1"/>
        <v>36</v>
      </c>
      <c r="B39" t="e">
        <f t="shared" si="2"/>
        <v>#N/A</v>
      </c>
      <c r="C39" t="e">
        <f t="shared" si="2"/>
        <v>#N/A</v>
      </c>
      <c r="D39" t="e">
        <f t="shared" si="2"/>
        <v>#N/A</v>
      </c>
    </row>
    <row r="40" spans="1:4">
      <c r="A40">
        <f t="shared" si="1"/>
        <v>37</v>
      </c>
      <c r="B40" t="e">
        <f t="shared" si="2"/>
        <v>#N/A</v>
      </c>
      <c r="C40" t="e">
        <f t="shared" si="2"/>
        <v>#N/A</v>
      </c>
      <c r="D40" t="e">
        <f t="shared" si="2"/>
        <v>#N/A</v>
      </c>
    </row>
    <row r="41" spans="1:4">
      <c r="A41">
        <f t="shared" si="1"/>
        <v>38</v>
      </c>
      <c r="B41" t="e">
        <f t="shared" si="2"/>
        <v>#N/A</v>
      </c>
      <c r="C41" t="e">
        <f t="shared" si="2"/>
        <v>#N/A</v>
      </c>
      <c r="D41" t="e">
        <f t="shared" si="2"/>
        <v>#N/A</v>
      </c>
    </row>
    <row r="42" spans="1:4">
      <c r="A42">
        <f t="shared" si="1"/>
        <v>39</v>
      </c>
      <c r="B42" t="e">
        <f t="shared" si="2"/>
        <v>#N/A</v>
      </c>
      <c r="C42" t="e">
        <f t="shared" si="2"/>
        <v>#N/A</v>
      </c>
      <c r="D42" t="e">
        <f t="shared" si="2"/>
        <v>#N/A</v>
      </c>
    </row>
    <row r="43" spans="1:4">
      <c r="A43">
        <f t="shared" si="1"/>
        <v>40</v>
      </c>
      <c r="B43" t="e">
        <f t="shared" si="2"/>
        <v>#N/A</v>
      </c>
      <c r="C43" t="e">
        <f t="shared" si="2"/>
        <v>#N/A</v>
      </c>
      <c r="D43" t="e">
        <f t="shared" si="2"/>
        <v>#N/A</v>
      </c>
    </row>
    <row r="44" spans="1:4">
      <c r="A44">
        <f t="shared" si="1"/>
        <v>41</v>
      </c>
      <c r="B44" t="e">
        <f t="shared" ref="B44:D63" si="3">INDEX(USFit_data,$A44,B$2)</f>
        <v>#N/A</v>
      </c>
      <c r="C44" t="e">
        <f t="shared" si="3"/>
        <v>#N/A</v>
      </c>
      <c r="D44" t="e">
        <f t="shared" si="3"/>
        <v>#N/A</v>
      </c>
    </row>
    <row r="45" spans="1:4">
      <c r="A45">
        <f t="shared" si="1"/>
        <v>42</v>
      </c>
      <c r="B45" t="e">
        <f t="shared" si="3"/>
        <v>#N/A</v>
      </c>
      <c r="C45" t="e">
        <f t="shared" si="3"/>
        <v>#N/A</v>
      </c>
      <c r="D45" t="e">
        <f t="shared" si="3"/>
        <v>#N/A</v>
      </c>
    </row>
    <row r="46" spans="1:4">
      <c r="A46">
        <f t="shared" si="1"/>
        <v>43</v>
      </c>
      <c r="B46" t="e">
        <f t="shared" si="3"/>
        <v>#N/A</v>
      </c>
      <c r="C46" t="e">
        <f t="shared" si="3"/>
        <v>#N/A</v>
      </c>
      <c r="D46" t="e">
        <f t="shared" si="3"/>
        <v>#N/A</v>
      </c>
    </row>
    <row r="47" spans="1:4">
      <c r="A47">
        <f t="shared" si="1"/>
        <v>44</v>
      </c>
      <c r="B47" t="e">
        <f t="shared" si="3"/>
        <v>#N/A</v>
      </c>
      <c r="C47" t="e">
        <f t="shared" si="3"/>
        <v>#N/A</v>
      </c>
      <c r="D47" t="e">
        <f t="shared" si="3"/>
        <v>#N/A</v>
      </c>
    </row>
    <row r="48" spans="1:4">
      <c r="A48">
        <f t="shared" si="1"/>
        <v>45</v>
      </c>
      <c r="B48" t="e">
        <f t="shared" si="3"/>
        <v>#N/A</v>
      </c>
      <c r="C48" t="e">
        <f t="shared" si="3"/>
        <v>#N/A</v>
      </c>
      <c r="D48" t="e">
        <f t="shared" si="3"/>
        <v>#N/A</v>
      </c>
    </row>
    <row r="49" spans="1:4">
      <c r="A49">
        <f t="shared" si="1"/>
        <v>46</v>
      </c>
      <c r="B49" t="e">
        <f t="shared" si="3"/>
        <v>#N/A</v>
      </c>
      <c r="C49" t="e">
        <f t="shared" si="3"/>
        <v>#N/A</v>
      </c>
      <c r="D49" t="e">
        <f t="shared" si="3"/>
        <v>#N/A</v>
      </c>
    </row>
    <row r="50" spans="1:4">
      <c r="A50">
        <f t="shared" si="1"/>
        <v>47</v>
      </c>
      <c r="B50" t="e">
        <f t="shared" si="3"/>
        <v>#N/A</v>
      </c>
      <c r="C50" t="e">
        <f t="shared" si="3"/>
        <v>#N/A</v>
      </c>
      <c r="D50" t="e">
        <f t="shared" si="3"/>
        <v>#N/A</v>
      </c>
    </row>
    <row r="51" spans="1:4">
      <c r="A51">
        <f t="shared" si="1"/>
        <v>48</v>
      </c>
      <c r="B51" t="e">
        <f t="shared" si="3"/>
        <v>#N/A</v>
      </c>
      <c r="C51" t="e">
        <f t="shared" si="3"/>
        <v>#N/A</v>
      </c>
      <c r="D51" t="e">
        <f t="shared" si="3"/>
        <v>#N/A</v>
      </c>
    </row>
    <row r="52" spans="1:4">
      <c r="A52">
        <f t="shared" si="1"/>
        <v>49</v>
      </c>
      <c r="B52" t="e">
        <f t="shared" si="3"/>
        <v>#N/A</v>
      </c>
      <c r="C52" t="e">
        <f t="shared" si="3"/>
        <v>#N/A</v>
      </c>
      <c r="D52" t="e">
        <f t="shared" si="3"/>
        <v>#N/A</v>
      </c>
    </row>
    <row r="53" spans="1:4">
      <c r="A53">
        <f t="shared" si="1"/>
        <v>50</v>
      </c>
      <c r="B53" t="e">
        <f t="shared" si="3"/>
        <v>#N/A</v>
      </c>
      <c r="C53" t="e">
        <f t="shared" si="3"/>
        <v>#N/A</v>
      </c>
      <c r="D53" t="e">
        <f t="shared" si="3"/>
        <v>#N/A</v>
      </c>
    </row>
    <row r="54" spans="1:4">
      <c r="A54">
        <f t="shared" si="1"/>
        <v>51</v>
      </c>
      <c r="B54" t="e">
        <f t="shared" si="3"/>
        <v>#N/A</v>
      </c>
      <c r="C54" t="e">
        <f t="shared" si="3"/>
        <v>#N/A</v>
      </c>
      <c r="D54" t="e">
        <f t="shared" si="3"/>
        <v>#N/A</v>
      </c>
    </row>
    <row r="55" spans="1:4">
      <c r="A55">
        <f t="shared" si="1"/>
        <v>52</v>
      </c>
      <c r="B55" t="e">
        <f t="shared" si="3"/>
        <v>#N/A</v>
      </c>
      <c r="C55" t="e">
        <f t="shared" si="3"/>
        <v>#N/A</v>
      </c>
      <c r="D55" t="e">
        <f t="shared" si="3"/>
        <v>#N/A</v>
      </c>
    </row>
    <row r="56" spans="1:4">
      <c r="A56">
        <f t="shared" si="1"/>
        <v>53</v>
      </c>
      <c r="B56" t="e">
        <f t="shared" si="3"/>
        <v>#N/A</v>
      </c>
      <c r="C56" t="e">
        <f t="shared" si="3"/>
        <v>#N/A</v>
      </c>
      <c r="D56" t="e">
        <f t="shared" si="3"/>
        <v>#N/A</v>
      </c>
    </row>
    <row r="57" spans="1:4">
      <c r="A57">
        <f t="shared" si="1"/>
        <v>54</v>
      </c>
      <c r="B57" t="e">
        <f t="shared" si="3"/>
        <v>#N/A</v>
      </c>
      <c r="C57" t="e">
        <f t="shared" si="3"/>
        <v>#N/A</v>
      </c>
      <c r="D57" t="e">
        <f t="shared" si="3"/>
        <v>#N/A</v>
      </c>
    </row>
    <row r="58" spans="1:4">
      <c r="A58">
        <f t="shared" si="1"/>
        <v>55</v>
      </c>
      <c r="B58" t="e">
        <f t="shared" si="3"/>
        <v>#N/A</v>
      </c>
      <c r="C58" t="e">
        <f t="shared" si="3"/>
        <v>#N/A</v>
      </c>
      <c r="D58" t="e">
        <f t="shared" si="3"/>
        <v>#N/A</v>
      </c>
    </row>
    <row r="59" spans="1:4">
      <c r="A59">
        <f t="shared" si="1"/>
        <v>56</v>
      </c>
      <c r="B59" t="e">
        <f t="shared" si="3"/>
        <v>#N/A</v>
      </c>
      <c r="C59" t="e">
        <f t="shared" si="3"/>
        <v>#N/A</v>
      </c>
      <c r="D59" t="e">
        <f t="shared" si="3"/>
        <v>#N/A</v>
      </c>
    </row>
    <row r="60" spans="1:4">
      <c r="A60">
        <f t="shared" si="1"/>
        <v>57</v>
      </c>
      <c r="B60" t="e">
        <f t="shared" si="3"/>
        <v>#N/A</v>
      </c>
      <c r="C60" t="e">
        <f t="shared" si="3"/>
        <v>#N/A</v>
      </c>
      <c r="D60" t="e">
        <f t="shared" si="3"/>
        <v>#N/A</v>
      </c>
    </row>
    <row r="61" spans="1:4">
      <c r="A61">
        <f t="shared" si="1"/>
        <v>58</v>
      </c>
      <c r="B61" t="e">
        <f t="shared" si="3"/>
        <v>#N/A</v>
      </c>
      <c r="C61" t="e">
        <f t="shared" si="3"/>
        <v>#N/A</v>
      </c>
      <c r="D61" t="e">
        <f t="shared" si="3"/>
        <v>#N/A</v>
      </c>
    </row>
    <row r="62" spans="1:4">
      <c r="A62">
        <f t="shared" si="1"/>
        <v>59</v>
      </c>
      <c r="B62" t="e">
        <f t="shared" si="3"/>
        <v>#N/A</v>
      </c>
      <c r="C62" t="e">
        <f t="shared" si="3"/>
        <v>#N/A</v>
      </c>
      <c r="D62" t="e">
        <f t="shared" si="3"/>
        <v>#N/A</v>
      </c>
    </row>
    <row r="63" spans="1:4">
      <c r="A63">
        <f t="shared" si="1"/>
        <v>60</v>
      </c>
      <c r="B63" t="e">
        <f t="shared" si="3"/>
        <v>#N/A</v>
      </c>
      <c r="C63" t="e">
        <f t="shared" si="3"/>
        <v>#N/A</v>
      </c>
      <c r="D63" t="e">
        <f t="shared" si="3"/>
        <v>#N/A</v>
      </c>
    </row>
    <row r="64" spans="1:4">
      <c r="A64">
        <f t="shared" si="1"/>
        <v>61</v>
      </c>
      <c r="B64" t="e">
        <f t="shared" ref="B64:D83" si="4">INDEX(USFit_data,$A64,B$2)</f>
        <v>#N/A</v>
      </c>
      <c r="C64" t="e">
        <f t="shared" si="4"/>
        <v>#N/A</v>
      </c>
      <c r="D64" t="e">
        <f t="shared" si="4"/>
        <v>#N/A</v>
      </c>
    </row>
    <row r="65" spans="1:4">
      <c r="A65">
        <f t="shared" si="1"/>
        <v>62</v>
      </c>
      <c r="B65" t="e">
        <f t="shared" si="4"/>
        <v>#N/A</v>
      </c>
      <c r="C65" t="e">
        <f t="shared" si="4"/>
        <v>#N/A</v>
      </c>
      <c r="D65" t="e">
        <f t="shared" si="4"/>
        <v>#N/A</v>
      </c>
    </row>
    <row r="66" spans="1:4">
      <c r="A66">
        <f t="shared" si="1"/>
        <v>63</v>
      </c>
      <c r="B66" t="e">
        <f t="shared" si="4"/>
        <v>#N/A</v>
      </c>
      <c r="C66" t="e">
        <f t="shared" si="4"/>
        <v>#N/A</v>
      </c>
      <c r="D66" t="e">
        <f t="shared" si="4"/>
        <v>#N/A</v>
      </c>
    </row>
    <row r="67" spans="1:4">
      <c r="A67">
        <f t="shared" si="1"/>
        <v>64</v>
      </c>
      <c r="B67" t="e">
        <f t="shared" si="4"/>
        <v>#N/A</v>
      </c>
      <c r="C67" t="e">
        <f t="shared" si="4"/>
        <v>#N/A</v>
      </c>
      <c r="D67" t="e">
        <f t="shared" si="4"/>
        <v>#N/A</v>
      </c>
    </row>
    <row r="68" spans="1:4">
      <c r="A68">
        <f t="shared" si="1"/>
        <v>65</v>
      </c>
      <c r="B68" t="e">
        <f t="shared" si="4"/>
        <v>#N/A</v>
      </c>
      <c r="C68" t="e">
        <f t="shared" si="4"/>
        <v>#N/A</v>
      </c>
      <c r="D68" t="e">
        <f t="shared" si="4"/>
        <v>#N/A</v>
      </c>
    </row>
    <row r="69" spans="1:4">
      <c r="A69">
        <f t="shared" si="1"/>
        <v>66</v>
      </c>
      <c r="B69" t="e">
        <f t="shared" si="4"/>
        <v>#N/A</v>
      </c>
      <c r="C69" t="e">
        <f t="shared" si="4"/>
        <v>#N/A</v>
      </c>
      <c r="D69" t="e">
        <f t="shared" si="4"/>
        <v>#N/A</v>
      </c>
    </row>
    <row r="70" spans="1:4">
      <c r="A70">
        <f t="shared" ref="A70:A133" si="5">A69+1</f>
        <v>67</v>
      </c>
      <c r="B70" t="e">
        <f t="shared" si="4"/>
        <v>#N/A</v>
      </c>
      <c r="C70" t="e">
        <f t="shared" si="4"/>
        <v>#N/A</v>
      </c>
      <c r="D70" t="e">
        <f t="shared" si="4"/>
        <v>#N/A</v>
      </c>
    </row>
    <row r="71" spans="1:4">
      <c r="A71">
        <f t="shared" si="5"/>
        <v>68</v>
      </c>
      <c r="B71" t="e">
        <f t="shared" si="4"/>
        <v>#N/A</v>
      </c>
      <c r="C71" t="e">
        <f t="shared" si="4"/>
        <v>#N/A</v>
      </c>
      <c r="D71" t="e">
        <f t="shared" si="4"/>
        <v>#N/A</v>
      </c>
    </row>
    <row r="72" spans="1:4">
      <c r="A72">
        <f t="shared" si="5"/>
        <v>69</v>
      </c>
      <c r="B72" t="e">
        <f t="shared" si="4"/>
        <v>#N/A</v>
      </c>
      <c r="C72" t="e">
        <f t="shared" si="4"/>
        <v>#N/A</v>
      </c>
      <c r="D72" t="e">
        <f t="shared" si="4"/>
        <v>#N/A</v>
      </c>
    </row>
    <row r="73" spans="1:4">
      <c r="A73">
        <f t="shared" si="5"/>
        <v>70</v>
      </c>
      <c r="B73" t="e">
        <f t="shared" si="4"/>
        <v>#N/A</v>
      </c>
      <c r="C73" t="e">
        <f t="shared" si="4"/>
        <v>#N/A</v>
      </c>
      <c r="D73" t="e">
        <f t="shared" si="4"/>
        <v>#N/A</v>
      </c>
    </row>
    <row r="74" spans="1:4">
      <c r="A74">
        <f t="shared" si="5"/>
        <v>71</v>
      </c>
      <c r="B74" t="e">
        <f t="shared" si="4"/>
        <v>#N/A</v>
      </c>
      <c r="C74" t="e">
        <f t="shared" si="4"/>
        <v>#N/A</v>
      </c>
      <c r="D74" t="e">
        <f t="shared" si="4"/>
        <v>#N/A</v>
      </c>
    </row>
    <row r="75" spans="1:4">
      <c r="A75">
        <f t="shared" si="5"/>
        <v>72</v>
      </c>
      <c r="B75" t="e">
        <f t="shared" si="4"/>
        <v>#N/A</v>
      </c>
      <c r="C75" t="e">
        <f t="shared" si="4"/>
        <v>#N/A</v>
      </c>
      <c r="D75" t="e">
        <f t="shared" si="4"/>
        <v>#N/A</v>
      </c>
    </row>
    <row r="76" spans="1:4">
      <c r="A76">
        <f t="shared" si="5"/>
        <v>73</v>
      </c>
      <c r="B76" t="e">
        <f t="shared" si="4"/>
        <v>#N/A</v>
      </c>
      <c r="C76" t="e">
        <f t="shared" si="4"/>
        <v>#N/A</v>
      </c>
      <c r="D76" t="e">
        <f t="shared" si="4"/>
        <v>#N/A</v>
      </c>
    </row>
    <row r="77" spans="1:4">
      <c r="A77">
        <f t="shared" si="5"/>
        <v>74</v>
      </c>
      <c r="B77" t="e">
        <f t="shared" si="4"/>
        <v>#N/A</v>
      </c>
      <c r="C77" t="e">
        <f t="shared" si="4"/>
        <v>#N/A</v>
      </c>
      <c r="D77" t="e">
        <f t="shared" si="4"/>
        <v>#N/A</v>
      </c>
    </row>
    <row r="78" spans="1:4">
      <c r="A78">
        <f t="shared" si="5"/>
        <v>75</v>
      </c>
      <c r="B78" t="e">
        <f t="shared" si="4"/>
        <v>#N/A</v>
      </c>
      <c r="C78" t="e">
        <f t="shared" si="4"/>
        <v>#N/A</v>
      </c>
      <c r="D78" t="e">
        <f t="shared" si="4"/>
        <v>#N/A</v>
      </c>
    </row>
    <row r="79" spans="1:4">
      <c r="A79">
        <f t="shared" si="5"/>
        <v>76</v>
      </c>
      <c r="B79" t="e">
        <f t="shared" si="4"/>
        <v>#N/A</v>
      </c>
      <c r="C79" t="e">
        <f t="shared" si="4"/>
        <v>#N/A</v>
      </c>
      <c r="D79" t="e">
        <f t="shared" si="4"/>
        <v>#N/A</v>
      </c>
    </row>
    <row r="80" spans="1:4">
      <c r="A80">
        <f t="shared" si="5"/>
        <v>77</v>
      </c>
      <c r="B80" t="e">
        <f t="shared" si="4"/>
        <v>#N/A</v>
      </c>
      <c r="C80" t="e">
        <f t="shared" si="4"/>
        <v>#N/A</v>
      </c>
      <c r="D80" t="e">
        <f t="shared" si="4"/>
        <v>#N/A</v>
      </c>
    </row>
    <row r="81" spans="1:4">
      <c r="A81">
        <f t="shared" si="5"/>
        <v>78</v>
      </c>
      <c r="B81" t="e">
        <f t="shared" si="4"/>
        <v>#N/A</v>
      </c>
      <c r="C81" t="e">
        <f t="shared" si="4"/>
        <v>#N/A</v>
      </c>
      <c r="D81" t="e">
        <f t="shared" si="4"/>
        <v>#N/A</v>
      </c>
    </row>
    <row r="82" spans="1:4">
      <c r="A82">
        <f t="shared" si="5"/>
        <v>79</v>
      </c>
      <c r="B82" t="e">
        <f t="shared" si="4"/>
        <v>#N/A</v>
      </c>
      <c r="C82" t="e">
        <f t="shared" si="4"/>
        <v>#N/A</v>
      </c>
      <c r="D82" t="e">
        <f t="shared" si="4"/>
        <v>#N/A</v>
      </c>
    </row>
    <row r="83" spans="1:4">
      <c r="A83">
        <f t="shared" si="5"/>
        <v>80</v>
      </c>
      <c r="B83" t="e">
        <f t="shared" si="4"/>
        <v>#N/A</v>
      </c>
      <c r="C83" t="e">
        <f t="shared" si="4"/>
        <v>#N/A</v>
      </c>
      <c r="D83" t="e">
        <f t="shared" si="4"/>
        <v>#N/A</v>
      </c>
    </row>
    <row r="84" spans="1:4">
      <c r="A84">
        <f t="shared" si="5"/>
        <v>81</v>
      </c>
      <c r="B84" t="e">
        <f t="shared" ref="B84:D103" si="6">INDEX(USFit_data,$A84,B$2)</f>
        <v>#N/A</v>
      </c>
      <c r="C84" t="e">
        <f t="shared" si="6"/>
        <v>#N/A</v>
      </c>
      <c r="D84" t="e">
        <f t="shared" si="6"/>
        <v>#N/A</v>
      </c>
    </row>
    <row r="85" spans="1:4">
      <c r="A85">
        <f t="shared" si="5"/>
        <v>82</v>
      </c>
      <c r="B85" t="e">
        <f t="shared" si="6"/>
        <v>#N/A</v>
      </c>
      <c r="C85" t="e">
        <f t="shared" si="6"/>
        <v>#N/A</v>
      </c>
      <c r="D85" t="e">
        <f t="shared" si="6"/>
        <v>#N/A</v>
      </c>
    </row>
    <row r="86" spans="1:4">
      <c r="A86">
        <f t="shared" si="5"/>
        <v>83</v>
      </c>
      <c r="B86" t="e">
        <f t="shared" si="6"/>
        <v>#N/A</v>
      </c>
      <c r="C86" t="e">
        <f t="shared" si="6"/>
        <v>#N/A</v>
      </c>
      <c r="D86" t="e">
        <f t="shared" si="6"/>
        <v>#N/A</v>
      </c>
    </row>
    <row r="87" spans="1:4">
      <c r="A87">
        <f t="shared" si="5"/>
        <v>84</v>
      </c>
      <c r="B87" t="e">
        <f t="shared" si="6"/>
        <v>#N/A</v>
      </c>
      <c r="C87" t="e">
        <f t="shared" si="6"/>
        <v>#N/A</v>
      </c>
      <c r="D87" t="e">
        <f t="shared" si="6"/>
        <v>#N/A</v>
      </c>
    </row>
    <row r="88" spans="1:4">
      <c r="A88">
        <f t="shared" si="5"/>
        <v>85</v>
      </c>
      <c r="B88" t="e">
        <f t="shared" si="6"/>
        <v>#N/A</v>
      </c>
      <c r="C88" t="e">
        <f t="shared" si="6"/>
        <v>#N/A</v>
      </c>
      <c r="D88" t="e">
        <f t="shared" si="6"/>
        <v>#N/A</v>
      </c>
    </row>
    <row r="89" spans="1:4">
      <c r="A89">
        <f t="shared" si="5"/>
        <v>86</v>
      </c>
      <c r="B89" t="e">
        <f t="shared" si="6"/>
        <v>#N/A</v>
      </c>
      <c r="C89" t="e">
        <f t="shared" si="6"/>
        <v>#N/A</v>
      </c>
      <c r="D89" t="e">
        <f t="shared" si="6"/>
        <v>#N/A</v>
      </c>
    </row>
    <row r="90" spans="1:4">
      <c r="A90">
        <f t="shared" si="5"/>
        <v>87</v>
      </c>
      <c r="B90" t="e">
        <f t="shared" si="6"/>
        <v>#N/A</v>
      </c>
      <c r="C90" t="e">
        <f t="shared" si="6"/>
        <v>#N/A</v>
      </c>
      <c r="D90" t="e">
        <f t="shared" si="6"/>
        <v>#N/A</v>
      </c>
    </row>
    <row r="91" spans="1:4">
      <c r="A91">
        <f t="shared" si="5"/>
        <v>88</v>
      </c>
      <c r="B91" t="e">
        <f t="shared" si="6"/>
        <v>#N/A</v>
      </c>
      <c r="C91" t="e">
        <f t="shared" si="6"/>
        <v>#N/A</v>
      </c>
      <c r="D91" t="e">
        <f t="shared" si="6"/>
        <v>#N/A</v>
      </c>
    </row>
    <row r="92" spans="1:4">
      <c r="A92">
        <f t="shared" si="5"/>
        <v>89</v>
      </c>
      <c r="B92" t="e">
        <f t="shared" si="6"/>
        <v>#N/A</v>
      </c>
      <c r="C92" t="e">
        <f t="shared" si="6"/>
        <v>#N/A</v>
      </c>
      <c r="D92" t="e">
        <f t="shared" si="6"/>
        <v>#N/A</v>
      </c>
    </row>
    <row r="93" spans="1:4">
      <c r="A93">
        <f t="shared" si="5"/>
        <v>90</v>
      </c>
      <c r="B93" t="e">
        <f t="shared" si="6"/>
        <v>#N/A</v>
      </c>
      <c r="C93" t="e">
        <f t="shared" si="6"/>
        <v>#N/A</v>
      </c>
      <c r="D93" t="e">
        <f t="shared" si="6"/>
        <v>#N/A</v>
      </c>
    </row>
    <row r="94" spans="1:4">
      <c r="A94">
        <f t="shared" si="5"/>
        <v>91</v>
      </c>
      <c r="B94" t="e">
        <f t="shared" si="6"/>
        <v>#N/A</v>
      </c>
      <c r="C94" t="e">
        <f t="shared" si="6"/>
        <v>#N/A</v>
      </c>
      <c r="D94" t="e">
        <f t="shared" si="6"/>
        <v>#N/A</v>
      </c>
    </row>
    <row r="95" spans="1:4">
      <c r="A95">
        <f t="shared" si="5"/>
        <v>92</v>
      </c>
      <c r="B95" t="e">
        <f t="shared" si="6"/>
        <v>#N/A</v>
      </c>
      <c r="C95" t="e">
        <f t="shared" si="6"/>
        <v>#N/A</v>
      </c>
      <c r="D95" t="e">
        <f t="shared" si="6"/>
        <v>#N/A</v>
      </c>
    </row>
    <row r="96" spans="1:4">
      <c r="A96">
        <f t="shared" si="5"/>
        <v>93</v>
      </c>
      <c r="B96" t="e">
        <f t="shared" si="6"/>
        <v>#N/A</v>
      </c>
      <c r="C96" t="e">
        <f t="shared" si="6"/>
        <v>#N/A</v>
      </c>
      <c r="D96" t="e">
        <f t="shared" si="6"/>
        <v>#N/A</v>
      </c>
    </row>
    <row r="97" spans="1:4">
      <c r="A97">
        <f t="shared" si="5"/>
        <v>94</v>
      </c>
      <c r="B97" t="e">
        <f t="shared" si="6"/>
        <v>#N/A</v>
      </c>
      <c r="C97" t="e">
        <f t="shared" si="6"/>
        <v>#N/A</v>
      </c>
      <c r="D97" t="e">
        <f t="shared" si="6"/>
        <v>#N/A</v>
      </c>
    </row>
    <row r="98" spans="1:4">
      <c r="A98">
        <f t="shared" si="5"/>
        <v>95</v>
      </c>
      <c r="B98" t="e">
        <f t="shared" si="6"/>
        <v>#N/A</v>
      </c>
      <c r="C98" t="e">
        <f t="shared" si="6"/>
        <v>#N/A</v>
      </c>
      <c r="D98" t="e">
        <f t="shared" si="6"/>
        <v>#N/A</v>
      </c>
    </row>
    <row r="99" spans="1:4">
      <c r="A99">
        <f t="shared" si="5"/>
        <v>96</v>
      </c>
      <c r="B99" t="e">
        <f t="shared" si="6"/>
        <v>#N/A</v>
      </c>
      <c r="C99" t="e">
        <f t="shared" si="6"/>
        <v>#N/A</v>
      </c>
      <c r="D99" t="e">
        <f t="shared" si="6"/>
        <v>#N/A</v>
      </c>
    </row>
    <row r="100" spans="1:4">
      <c r="A100">
        <f t="shared" si="5"/>
        <v>97</v>
      </c>
      <c r="B100" t="e">
        <f t="shared" si="6"/>
        <v>#N/A</v>
      </c>
      <c r="C100" t="e">
        <f t="shared" si="6"/>
        <v>#N/A</v>
      </c>
      <c r="D100" t="e">
        <f t="shared" si="6"/>
        <v>#N/A</v>
      </c>
    </row>
    <row r="101" spans="1:4">
      <c r="A101">
        <f t="shared" si="5"/>
        <v>98</v>
      </c>
      <c r="B101" t="e">
        <f t="shared" si="6"/>
        <v>#N/A</v>
      </c>
      <c r="C101" t="e">
        <f t="shared" si="6"/>
        <v>#N/A</v>
      </c>
      <c r="D101" t="e">
        <f t="shared" si="6"/>
        <v>#N/A</v>
      </c>
    </row>
    <row r="102" spans="1:4">
      <c r="A102">
        <f t="shared" si="5"/>
        <v>99</v>
      </c>
      <c r="B102" t="e">
        <f t="shared" si="6"/>
        <v>#N/A</v>
      </c>
      <c r="C102" t="e">
        <f t="shared" si="6"/>
        <v>#N/A</v>
      </c>
      <c r="D102" t="e">
        <f t="shared" si="6"/>
        <v>#N/A</v>
      </c>
    </row>
    <row r="103" spans="1:4">
      <c r="A103">
        <f t="shared" si="5"/>
        <v>100</v>
      </c>
      <c r="B103" t="e">
        <f t="shared" si="6"/>
        <v>#N/A</v>
      </c>
      <c r="C103" t="e">
        <f t="shared" si="6"/>
        <v>#N/A</v>
      </c>
      <c r="D103" t="e">
        <f t="shared" si="6"/>
        <v>#N/A</v>
      </c>
    </row>
    <row r="104" spans="1:4">
      <c r="A104">
        <f t="shared" si="5"/>
        <v>101</v>
      </c>
      <c r="B104" t="e">
        <f t="shared" ref="B104:D123" si="7">INDEX(USFit_data,$A104,B$2)</f>
        <v>#N/A</v>
      </c>
      <c r="C104" t="e">
        <f t="shared" si="7"/>
        <v>#N/A</v>
      </c>
      <c r="D104" t="e">
        <f t="shared" si="7"/>
        <v>#N/A</v>
      </c>
    </row>
    <row r="105" spans="1:4">
      <c r="A105">
        <f t="shared" si="5"/>
        <v>102</v>
      </c>
      <c r="B105" t="e">
        <f t="shared" si="7"/>
        <v>#N/A</v>
      </c>
      <c r="C105" t="e">
        <f t="shared" si="7"/>
        <v>#N/A</v>
      </c>
      <c r="D105" t="e">
        <f t="shared" si="7"/>
        <v>#N/A</v>
      </c>
    </row>
    <row r="106" spans="1:4">
      <c r="A106">
        <f t="shared" si="5"/>
        <v>103</v>
      </c>
      <c r="B106" t="e">
        <f t="shared" si="7"/>
        <v>#N/A</v>
      </c>
      <c r="C106" t="e">
        <f t="shared" si="7"/>
        <v>#N/A</v>
      </c>
      <c r="D106" t="e">
        <f t="shared" si="7"/>
        <v>#N/A</v>
      </c>
    </row>
    <row r="107" spans="1:4">
      <c r="A107">
        <f t="shared" si="5"/>
        <v>104</v>
      </c>
      <c r="B107" t="e">
        <f t="shared" si="7"/>
        <v>#N/A</v>
      </c>
      <c r="C107" t="e">
        <f t="shared" si="7"/>
        <v>#N/A</v>
      </c>
      <c r="D107" t="e">
        <f t="shared" si="7"/>
        <v>#N/A</v>
      </c>
    </row>
    <row r="108" spans="1:4">
      <c r="A108">
        <f t="shared" si="5"/>
        <v>105</v>
      </c>
      <c r="B108" t="e">
        <f t="shared" si="7"/>
        <v>#N/A</v>
      </c>
      <c r="C108" t="e">
        <f t="shared" si="7"/>
        <v>#N/A</v>
      </c>
      <c r="D108" t="e">
        <f t="shared" si="7"/>
        <v>#N/A</v>
      </c>
    </row>
    <row r="109" spans="1:4">
      <c r="A109">
        <f t="shared" si="5"/>
        <v>106</v>
      </c>
      <c r="B109" t="e">
        <f t="shared" si="7"/>
        <v>#N/A</v>
      </c>
      <c r="C109" t="e">
        <f t="shared" si="7"/>
        <v>#N/A</v>
      </c>
      <c r="D109" t="e">
        <f t="shared" si="7"/>
        <v>#N/A</v>
      </c>
    </row>
    <row r="110" spans="1:4">
      <c r="A110">
        <f t="shared" si="5"/>
        <v>107</v>
      </c>
      <c r="B110" t="e">
        <f t="shared" si="7"/>
        <v>#N/A</v>
      </c>
      <c r="C110" t="e">
        <f t="shared" si="7"/>
        <v>#N/A</v>
      </c>
      <c r="D110" t="e">
        <f t="shared" si="7"/>
        <v>#N/A</v>
      </c>
    </row>
    <row r="111" spans="1:4">
      <c r="A111">
        <f t="shared" si="5"/>
        <v>108</v>
      </c>
      <c r="B111" t="e">
        <f t="shared" si="7"/>
        <v>#N/A</v>
      </c>
      <c r="C111" t="e">
        <f t="shared" si="7"/>
        <v>#N/A</v>
      </c>
      <c r="D111" t="e">
        <f t="shared" si="7"/>
        <v>#N/A</v>
      </c>
    </row>
    <row r="112" spans="1:4">
      <c r="A112">
        <f t="shared" si="5"/>
        <v>109</v>
      </c>
      <c r="B112" t="e">
        <f t="shared" si="7"/>
        <v>#N/A</v>
      </c>
      <c r="C112" t="e">
        <f t="shared" si="7"/>
        <v>#N/A</v>
      </c>
      <c r="D112" t="e">
        <f t="shared" si="7"/>
        <v>#N/A</v>
      </c>
    </row>
    <row r="113" spans="1:4">
      <c r="A113">
        <f t="shared" si="5"/>
        <v>110</v>
      </c>
      <c r="B113" t="e">
        <f t="shared" si="7"/>
        <v>#N/A</v>
      </c>
      <c r="C113" t="e">
        <f t="shared" si="7"/>
        <v>#N/A</v>
      </c>
      <c r="D113" t="e">
        <f t="shared" si="7"/>
        <v>#N/A</v>
      </c>
    </row>
    <row r="114" spans="1:4">
      <c r="A114">
        <f t="shared" si="5"/>
        <v>111</v>
      </c>
      <c r="B114" t="e">
        <f t="shared" si="7"/>
        <v>#N/A</v>
      </c>
      <c r="C114" t="e">
        <f t="shared" si="7"/>
        <v>#N/A</v>
      </c>
      <c r="D114" t="e">
        <f t="shared" si="7"/>
        <v>#N/A</v>
      </c>
    </row>
    <row r="115" spans="1:4">
      <c r="A115">
        <f t="shared" si="5"/>
        <v>112</v>
      </c>
      <c r="B115" t="e">
        <f t="shared" si="7"/>
        <v>#N/A</v>
      </c>
      <c r="C115" t="e">
        <f t="shared" si="7"/>
        <v>#N/A</v>
      </c>
      <c r="D115" t="e">
        <f t="shared" si="7"/>
        <v>#N/A</v>
      </c>
    </row>
    <row r="116" spans="1:4">
      <c r="A116">
        <f t="shared" si="5"/>
        <v>113</v>
      </c>
      <c r="B116" t="e">
        <f t="shared" si="7"/>
        <v>#N/A</v>
      </c>
      <c r="C116" t="e">
        <f t="shared" si="7"/>
        <v>#N/A</v>
      </c>
      <c r="D116" t="e">
        <f t="shared" si="7"/>
        <v>#N/A</v>
      </c>
    </row>
    <row r="117" spans="1:4">
      <c r="A117">
        <f t="shared" si="5"/>
        <v>114</v>
      </c>
      <c r="B117" t="e">
        <f t="shared" si="7"/>
        <v>#N/A</v>
      </c>
      <c r="C117" t="e">
        <f t="shared" si="7"/>
        <v>#N/A</v>
      </c>
      <c r="D117" t="e">
        <f t="shared" si="7"/>
        <v>#N/A</v>
      </c>
    </row>
    <row r="118" spans="1:4">
      <c r="A118">
        <f t="shared" si="5"/>
        <v>115</v>
      </c>
      <c r="B118" t="e">
        <f t="shared" si="7"/>
        <v>#N/A</v>
      </c>
      <c r="C118" t="e">
        <f t="shared" si="7"/>
        <v>#N/A</v>
      </c>
      <c r="D118" t="e">
        <f t="shared" si="7"/>
        <v>#N/A</v>
      </c>
    </row>
    <row r="119" spans="1:4">
      <c r="A119">
        <f t="shared" si="5"/>
        <v>116</v>
      </c>
      <c r="B119" t="e">
        <f t="shared" si="7"/>
        <v>#N/A</v>
      </c>
      <c r="C119" t="e">
        <f t="shared" si="7"/>
        <v>#N/A</v>
      </c>
      <c r="D119" t="e">
        <f t="shared" si="7"/>
        <v>#N/A</v>
      </c>
    </row>
    <row r="120" spans="1:4">
      <c r="A120">
        <f t="shared" si="5"/>
        <v>117</v>
      </c>
      <c r="B120" t="e">
        <f t="shared" si="7"/>
        <v>#N/A</v>
      </c>
      <c r="C120" t="e">
        <f t="shared" si="7"/>
        <v>#N/A</v>
      </c>
      <c r="D120" t="e">
        <f t="shared" si="7"/>
        <v>#N/A</v>
      </c>
    </row>
    <row r="121" spans="1:4">
      <c r="A121">
        <f t="shared" si="5"/>
        <v>118</v>
      </c>
      <c r="B121" t="e">
        <f t="shared" si="7"/>
        <v>#N/A</v>
      </c>
      <c r="C121" t="e">
        <f t="shared" si="7"/>
        <v>#N/A</v>
      </c>
      <c r="D121" t="e">
        <f t="shared" si="7"/>
        <v>#N/A</v>
      </c>
    </row>
    <row r="122" spans="1:4">
      <c r="A122">
        <f t="shared" si="5"/>
        <v>119</v>
      </c>
      <c r="B122" t="e">
        <f t="shared" si="7"/>
        <v>#N/A</v>
      </c>
      <c r="C122" t="e">
        <f t="shared" si="7"/>
        <v>#N/A</v>
      </c>
      <c r="D122" t="e">
        <f t="shared" si="7"/>
        <v>#N/A</v>
      </c>
    </row>
    <row r="123" spans="1:4">
      <c r="A123">
        <f t="shared" si="5"/>
        <v>120</v>
      </c>
      <c r="B123" t="e">
        <f t="shared" si="7"/>
        <v>#N/A</v>
      </c>
      <c r="C123" t="e">
        <f t="shared" si="7"/>
        <v>#N/A</v>
      </c>
      <c r="D123" t="e">
        <f t="shared" si="7"/>
        <v>#N/A</v>
      </c>
    </row>
    <row r="124" spans="1:4">
      <c r="A124">
        <f t="shared" si="5"/>
        <v>121</v>
      </c>
      <c r="B124" t="e">
        <f t="shared" ref="B124:D143" si="8">INDEX(USFit_data,$A124,B$2)</f>
        <v>#N/A</v>
      </c>
      <c r="C124" t="e">
        <f t="shared" si="8"/>
        <v>#N/A</v>
      </c>
      <c r="D124" t="e">
        <f t="shared" si="8"/>
        <v>#N/A</v>
      </c>
    </row>
    <row r="125" spans="1:4">
      <c r="A125">
        <f t="shared" si="5"/>
        <v>122</v>
      </c>
      <c r="B125" t="e">
        <f t="shared" si="8"/>
        <v>#N/A</v>
      </c>
      <c r="C125" t="e">
        <f t="shared" si="8"/>
        <v>#N/A</v>
      </c>
      <c r="D125" t="e">
        <f t="shared" si="8"/>
        <v>#N/A</v>
      </c>
    </row>
    <row r="126" spans="1:4">
      <c r="A126">
        <f t="shared" si="5"/>
        <v>123</v>
      </c>
      <c r="B126" t="e">
        <f t="shared" si="8"/>
        <v>#N/A</v>
      </c>
      <c r="C126" t="e">
        <f t="shared" si="8"/>
        <v>#N/A</v>
      </c>
      <c r="D126" t="e">
        <f t="shared" si="8"/>
        <v>#N/A</v>
      </c>
    </row>
    <row r="127" spans="1:4">
      <c r="A127">
        <f t="shared" si="5"/>
        <v>124</v>
      </c>
      <c r="B127" t="e">
        <f t="shared" si="8"/>
        <v>#N/A</v>
      </c>
      <c r="C127" t="e">
        <f t="shared" si="8"/>
        <v>#N/A</v>
      </c>
      <c r="D127" t="e">
        <f t="shared" si="8"/>
        <v>#N/A</v>
      </c>
    </row>
    <row r="128" spans="1:4">
      <c r="A128">
        <f t="shared" si="5"/>
        <v>125</v>
      </c>
      <c r="B128" t="e">
        <f t="shared" si="8"/>
        <v>#N/A</v>
      </c>
      <c r="C128" t="e">
        <f t="shared" si="8"/>
        <v>#N/A</v>
      </c>
      <c r="D128" t="e">
        <f t="shared" si="8"/>
        <v>#N/A</v>
      </c>
    </row>
    <row r="129" spans="1:4">
      <c r="A129">
        <f t="shared" si="5"/>
        <v>126</v>
      </c>
      <c r="B129" t="e">
        <f t="shared" si="8"/>
        <v>#N/A</v>
      </c>
      <c r="C129" t="e">
        <f t="shared" si="8"/>
        <v>#N/A</v>
      </c>
      <c r="D129" t="e">
        <f t="shared" si="8"/>
        <v>#N/A</v>
      </c>
    </row>
    <row r="130" spans="1:4">
      <c r="A130">
        <f t="shared" si="5"/>
        <v>127</v>
      </c>
      <c r="B130" t="e">
        <f t="shared" si="8"/>
        <v>#N/A</v>
      </c>
      <c r="C130" t="e">
        <f t="shared" si="8"/>
        <v>#N/A</v>
      </c>
      <c r="D130" t="e">
        <f t="shared" si="8"/>
        <v>#N/A</v>
      </c>
    </row>
    <row r="131" spans="1:4">
      <c r="A131">
        <f t="shared" si="5"/>
        <v>128</v>
      </c>
      <c r="B131" t="e">
        <f t="shared" si="8"/>
        <v>#N/A</v>
      </c>
      <c r="C131" t="e">
        <f t="shared" si="8"/>
        <v>#N/A</v>
      </c>
      <c r="D131" t="e">
        <f t="shared" si="8"/>
        <v>#N/A</v>
      </c>
    </row>
    <row r="132" spans="1:4">
      <c r="A132">
        <f t="shared" si="5"/>
        <v>129</v>
      </c>
      <c r="B132" t="e">
        <f t="shared" si="8"/>
        <v>#N/A</v>
      </c>
      <c r="C132" t="e">
        <f t="shared" si="8"/>
        <v>#N/A</v>
      </c>
      <c r="D132" t="e">
        <f t="shared" si="8"/>
        <v>#N/A</v>
      </c>
    </row>
    <row r="133" spans="1:4">
      <c r="A133">
        <f t="shared" si="5"/>
        <v>130</v>
      </c>
      <c r="B133" t="e">
        <f t="shared" si="8"/>
        <v>#N/A</v>
      </c>
      <c r="C133" t="e">
        <f t="shared" si="8"/>
        <v>#N/A</v>
      </c>
      <c r="D133" t="e">
        <f t="shared" si="8"/>
        <v>#N/A</v>
      </c>
    </row>
    <row r="134" spans="1:4">
      <c r="A134">
        <f t="shared" ref="A134:A165" si="9">A133+1</f>
        <v>131</v>
      </c>
      <c r="B134" t="e">
        <f t="shared" si="8"/>
        <v>#N/A</v>
      </c>
      <c r="C134" t="e">
        <f t="shared" si="8"/>
        <v>#N/A</v>
      </c>
      <c r="D134" t="e">
        <f t="shared" si="8"/>
        <v>#N/A</v>
      </c>
    </row>
    <row r="135" spans="1:4">
      <c r="A135">
        <f t="shared" si="9"/>
        <v>132</v>
      </c>
      <c r="B135" t="e">
        <f t="shared" si="8"/>
        <v>#N/A</v>
      </c>
      <c r="C135" t="e">
        <f t="shared" si="8"/>
        <v>#N/A</v>
      </c>
      <c r="D135" t="e">
        <f t="shared" si="8"/>
        <v>#N/A</v>
      </c>
    </row>
    <row r="136" spans="1:4">
      <c r="A136">
        <f t="shared" si="9"/>
        <v>133</v>
      </c>
      <c r="B136" t="e">
        <f t="shared" si="8"/>
        <v>#N/A</v>
      </c>
      <c r="C136" t="e">
        <f t="shared" si="8"/>
        <v>#N/A</v>
      </c>
      <c r="D136" t="e">
        <f t="shared" si="8"/>
        <v>#N/A</v>
      </c>
    </row>
    <row r="137" spans="1:4">
      <c r="A137">
        <f t="shared" si="9"/>
        <v>134</v>
      </c>
      <c r="B137" t="e">
        <f t="shared" si="8"/>
        <v>#N/A</v>
      </c>
      <c r="C137" t="e">
        <f t="shared" si="8"/>
        <v>#N/A</v>
      </c>
      <c r="D137" t="e">
        <f t="shared" si="8"/>
        <v>#N/A</v>
      </c>
    </row>
    <row r="138" spans="1:4">
      <c r="A138">
        <f t="shared" si="9"/>
        <v>135</v>
      </c>
      <c r="B138" t="e">
        <f t="shared" si="8"/>
        <v>#N/A</v>
      </c>
      <c r="C138" t="e">
        <f t="shared" si="8"/>
        <v>#N/A</v>
      </c>
      <c r="D138" t="e">
        <f t="shared" si="8"/>
        <v>#N/A</v>
      </c>
    </row>
    <row r="139" spans="1:4">
      <c r="A139">
        <f t="shared" si="9"/>
        <v>136</v>
      </c>
      <c r="B139" t="e">
        <f t="shared" si="8"/>
        <v>#N/A</v>
      </c>
      <c r="C139" t="e">
        <f t="shared" si="8"/>
        <v>#N/A</v>
      </c>
      <c r="D139" t="e">
        <f t="shared" si="8"/>
        <v>#N/A</v>
      </c>
    </row>
    <row r="140" spans="1:4">
      <c r="A140">
        <f t="shared" si="9"/>
        <v>137</v>
      </c>
      <c r="B140" t="e">
        <f t="shared" si="8"/>
        <v>#N/A</v>
      </c>
      <c r="C140" t="e">
        <f t="shared" si="8"/>
        <v>#N/A</v>
      </c>
      <c r="D140" t="e">
        <f t="shared" si="8"/>
        <v>#N/A</v>
      </c>
    </row>
    <row r="141" spans="1:4">
      <c r="A141">
        <f t="shared" si="9"/>
        <v>138</v>
      </c>
      <c r="B141" t="e">
        <f t="shared" si="8"/>
        <v>#N/A</v>
      </c>
      <c r="C141" t="e">
        <f t="shared" si="8"/>
        <v>#N/A</v>
      </c>
      <c r="D141" t="e">
        <f t="shared" si="8"/>
        <v>#N/A</v>
      </c>
    </row>
    <row r="142" spans="1:4">
      <c r="A142">
        <f t="shared" si="9"/>
        <v>139</v>
      </c>
      <c r="B142" t="e">
        <f t="shared" si="8"/>
        <v>#N/A</v>
      </c>
      <c r="C142" t="e">
        <f t="shared" si="8"/>
        <v>#N/A</v>
      </c>
      <c r="D142" t="e">
        <f t="shared" si="8"/>
        <v>#N/A</v>
      </c>
    </row>
    <row r="143" spans="1:4">
      <c r="A143">
        <f t="shared" si="9"/>
        <v>140</v>
      </c>
      <c r="B143" t="e">
        <f t="shared" si="8"/>
        <v>#N/A</v>
      </c>
      <c r="C143" t="e">
        <f t="shared" si="8"/>
        <v>#N/A</v>
      </c>
      <c r="D143" t="e">
        <f t="shared" si="8"/>
        <v>#N/A</v>
      </c>
    </row>
    <row r="144" spans="1:4">
      <c r="A144">
        <f t="shared" si="9"/>
        <v>141</v>
      </c>
      <c r="B144" t="e">
        <f t="shared" ref="B144:D162" si="10">INDEX(USFit_data,$A144,B$2)</f>
        <v>#N/A</v>
      </c>
      <c r="C144" t="e">
        <f t="shared" si="10"/>
        <v>#N/A</v>
      </c>
      <c r="D144" t="e">
        <f t="shared" si="10"/>
        <v>#N/A</v>
      </c>
    </row>
    <row r="145" spans="1:4">
      <c r="A145">
        <f t="shared" si="9"/>
        <v>142</v>
      </c>
      <c r="B145" t="e">
        <f t="shared" si="10"/>
        <v>#N/A</v>
      </c>
      <c r="C145" t="e">
        <f t="shared" si="10"/>
        <v>#N/A</v>
      </c>
      <c r="D145" t="e">
        <f t="shared" si="10"/>
        <v>#N/A</v>
      </c>
    </row>
    <row r="146" spans="1:4">
      <c r="A146">
        <f t="shared" si="9"/>
        <v>143</v>
      </c>
      <c r="B146" t="e">
        <f t="shared" si="10"/>
        <v>#N/A</v>
      </c>
      <c r="C146" t="e">
        <f t="shared" si="10"/>
        <v>#N/A</v>
      </c>
      <c r="D146" t="e">
        <f t="shared" si="10"/>
        <v>#N/A</v>
      </c>
    </row>
    <row r="147" spans="1:4">
      <c r="A147">
        <f t="shared" si="9"/>
        <v>144</v>
      </c>
      <c r="B147" t="e">
        <f t="shared" si="10"/>
        <v>#N/A</v>
      </c>
      <c r="C147" t="e">
        <f t="shared" si="10"/>
        <v>#N/A</v>
      </c>
      <c r="D147" t="e">
        <f t="shared" si="10"/>
        <v>#N/A</v>
      </c>
    </row>
    <row r="148" spans="1:4">
      <c r="A148">
        <f t="shared" si="9"/>
        <v>145</v>
      </c>
      <c r="B148" t="e">
        <f t="shared" si="10"/>
        <v>#N/A</v>
      </c>
      <c r="C148" t="e">
        <f t="shared" si="10"/>
        <v>#N/A</v>
      </c>
      <c r="D148" t="e">
        <f t="shared" si="10"/>
        <v>#N/A</v>
      </c>
    </row>
    <row r="149" spans="1:4">
      <c r="A149">
        <f t="shared" si="9"/>
        <v>146</v>
      </c>
      <c r="B149" t="e">
        <f t="shared" si="10"/>
        <v>#N/A</v>
      </c>
      <c r="C149" t="e">
        <f t="shared" si="10"/>
        <v>#N/A</v>
      </c>
      <c r="D149" t="e">
        <f t="shared" si="10"/>
        <v>#N/A</v>
      </c>
    </row>
    <row r="150" spans="1:4">
      <c r="A150">
        <f t="shared" si="9"/>
        <v>147</v>
      </c>
      <c r="B150" t="e">
        <f t="shared" si="10"/>
        <v>#N/A</v>
      </c>
      <c r="C150" t="e">
        <f t="shared" si="10"/>
        <v>#N/A</v>
      </c>
      <c r="D150" t="e">
        <f t="shared" si="10"/>
        <v>#N/A</v>
      </c>
    </row>
    <row r="151" spans="1:4">
      <c r="A151">
        <f t="shared" si="9"/>
        <v>148</v>
      </c>
      <c r="B151" t="e">
        <f t="shared" si="10"/>
        <v>#N/A</v>
      </c>
      <c r="C151" t="e">
        <f t="shared" si="10"/>
        <v>#N/A</v>
      </c>
      <c r="D151" t="e">
        <f t="shared" si="10"/>
        <v>#N/A</v>
      </c>
    </row>
    <row r="152" spans="1:4">
      <c r="A152">
        <f t="shared" si="9"/>
        <v>149</v>
      </c>
      <c r="B152" t="e">
        <f t="shared" si="10"/>
        <v>#N/A</v>
      </c>
      <c r="C152" t="e">
        <f t="shared" si="10"/>
        <v>#N/A</v>
      </c>
      <c r="D152" t="e">
        <f t="shared" si="10"/>
        <v>#N/A</v>
      </c>
    </row>
    <row r="153" spans="1:4">
      <c r="A153">
        <f t="shared" si="9"/>
        <v>150</v>
      </c>
      <c r="B153" t="e">
        <f t="shared" si="10"/>
        <v>#N/A</v>
      </c>
      <c r="C153" t="e">
        <f t="shared" si="10"/>
        <v>#N/A</v>
      </c>
      <c r="D153" t="e">
        <f t="shared" si="10"/>
        <v>#N/A</v>
      </c>
    </row>
    <row r="154" spans="1:4">
      <c r="A154">
        <f t="shared" si="9"/>
        <v>151</v>
      </c>
      <c r="B154" t="e">
        <f t="shared" si="10"/>
        <v>#N/A</v>
      </c>
      <c r="C154" t="e">
        <f t="shared" si="10"/>
        <v>#N/A</v>
      </c>
      <c r="D154" t="e">
        <f t="shared" si="10"/>
        <v>#N/A</v>
      </c>
    </row>
    <row r="155" spans="1:4">
      <c r="A155">
        <f t="shared" si="9"/>
        <v>152</v>
      </c>
      <c r="B155" t="e">
        <f t="shared" si="10"/>
        <v>#N/A</v>
      </c>
      <c r="C155" t="e">
        <f t="shared" si="10"/>
        <v>#N/A</v>
      </c>
      <c r="D155" t="e">
        <f t="shared" si="10"/>
        <v>#N/A</v>
      </c>
    </row>
    <row r="156" spans="1:4">
      <c r="A156">
        <f t="shared" si="9"/>
        <v>153</v>
      </c>
      <c r="B156" t="e">
        <f t="shared" si="10"/>
        <v>#N/A</v>
      </c>
      <c r="C156" t="e">
        <f t="shared" si="10"/>
        <v>#N/A</v>
      </c>
      <c r="D156" t="e">
        <f t="shared" si="10"/>
        <v>#N/A</v>
      </c>
    </row>
    <row r="157" spans="1:4">
      <c r="A157">
        <f t="shared" si="9"/>
        <v>154</v>
      </c>
      <c r="B157" t="e">
        <f t="shared" si="10"/>
        <v>#N/A</v>
      </c>
      <c r="C157" t="e">
        <f t="shared" si="10"/>
        <v>#N/A</v>
      </c>
      <c r="D157" t="e">
        <f t="shared" si="10"/>
        <v>#N/A</v>
      </c>
    </row>
    <row r="158" spans="1:4">
      <c r="A158">
        <f t="shared" si="9"/>
        <v>155</v>
      </c>
      <c r="B158" t="e">
        <f t="shared" si="10"/>
        <v>#N/A</v>
      </c>
      <c r="C158" t="e">
        <f t="shared" si="10"/>
        <v>#N/A</v>
      </c>
      <c r="D158" t="e">
        <f t="shared" si="10"/>
        <v>#N/A</v>
      </c>
    </row>
    <row r="159" spans="1:4">
      <c r="A159">
        <f t="shared" si="9"/>
        <v>156</v>
      </c>
      <c r="B159" t="e">
        <f t="shared" si="10"/>
        <v>#N/A</v>
      </c>
      <c r="C159" t="e">
        <f t="shared" si="10"/>
        <v>#N/A</v>
      </c>
      <c r="D159" t="e">
        <f t="shared" si="10"/>
        <v>#N/A</v>
      </c>
    </row>
    <row r="160" spans="1:4">
      <c r="A160">
        <f t="shared" si="9"/>
        <v>157</v>
      </c>
      <c r="B160" t="e">
        <f t="shared" si="10"/>
        <v>#N/A</v>
      </c>
      <c r="C160" t="e">
        <f t="shared" si="10"/>
        <v>#N/A</v>
      </c>
      <c r="D160" t="e">
        <f t="shared" si="10"/>
        <v>#N/A</v>
      </c>
    </row>
    <row r="161" spans="1:4">
      <c r="A161">
        <f t="shared" si="9"/>
        <v>158</v>
      </c>
      <c r="B161" t="e">
        <f t="shared" si="10"/>
        <v>#N/A</v>
      </c>
      <c r="C161" t="e">
        <f t="shared" si="10"/>
        <v>#N/A</v>
      </c>
      <c r="D161" t="e">
        <f t="shared" si="10"/>
        <v>#N/A</v>
      </c>
    </row>
    <row r="162" spans="1:4">
      <c r="A162">
        <f t="shared" si="9"/>
        <v>159</v>
      </c>
      <c r="B162" t="e">
        <f t="shared" si="10"/>
        <v>#N/A</v>
      </c>
      <c r="C162" t="e">
        <f t="shared" si="10"/>
        <v>#N/A</v>
      </c>
      <c r="D162" t="e">
        <f t="shared" si="10"/>
        <v>#N/A</v>
      </c>
    </row>
    <row r="163" spans="1:4">
      <c r="A163">
        <f t="shared" si="9"/>
        <v>160</v>
      </c>
      <c r="B163" t="e">
        <f t="shared" ref="B163:D165" si="11">INDEX(USFit_data,$A163,B$2)</f>
        <v>#N/A</v>
      </c>
      <c r="C163" t="e">
        <f t="shared" si="11"/>
        <v>#N/A</v>
      </c>
      <c r="D163" t="e">
        <f t="shared" si="11"/>
        <v>#N/A</v>
      </c>
    </row>
    <row r="164" spans="1:4">
      <c r="A164">
        <f t="shared" si="9"/>
        <v>161</v>
      </c>
      <c r="B164" t="e">
        <f t="shared" si="11"/>
        <v>#N/A</v>
      </c>
      <c r="C164" t="e">
        <f t="shared" si="11"/>
        <v>#N/A</v>
      </c>
      <c r="D164" t="e">
        <f t="shared" si="11"/>
        <v>#N/A</v>
      </c>
    </row>
    <row r="165" spans="1:4">
      <c r="A165">
        <f t="shared" si="9"/>
        <v>162</v>
      </c>
      <c r="B165" t="e">
        <f t="shared" si="11"/>
        <v>#N/A</v>
      </c>
      <c r="C165" t="e">
        <f t="shared" si="11"/>
        <v>#N/A</v>
      </c>
      <c r="D165" t="e">
        <f t="shared" si="11"/>
        <v>#N/A</v>
      </c>
    </row>
  </sheetData>
  <phoneticPr fontId="1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7" enableFormatConditionsCalculation="0">
    <tabColor indexed="8"/>
  </sheetPr>
  <dimension ref="A1:L19"/>
  <sheetViews>
    <sheetView workbookViewId="0">
      <selection activeCell="B2" sqref="B2:B17"/>
    </sheetView>
  </sheetViews>
  <sheetFormatPr defaultRowHeight="12.75"/>
  <cols>
    <col min="1" max="1" width="33.42578125" customWidth="1"/>
  </cols>
  <sheetData>
    <row r="1" spans="1:6">
      <c r="A1" s="5" t="s">
        <v>226</v>
      </c>
      <c r="B1" s="5" t="s">
        <v>715</v>
      </c>
      <c r="C1">
        <v>-2</v>
      </c>
      <c r="D1">
        <v>-1</v>
      </c>
      <c r="E1">
        <v>1</v>
      </c>
      <c r="F1" t="s">
        <v>250</v>
      </c>
    </row>
    <row r="2" spans="1:6">
      <c r="A2" s="5" t="s">
        <v>243</v>
      </c>
      <c r="B2" s="5">
        <v>10</v>
      </c>
      <c r="C2">
        <v>60</v>
      </c>
      <c r="D2">
        <v>4</v>
      </c>
      <c r="E2">
        <v>30</v>
      </c>
      <c r="F2">
        <v>94</v>
      </c>
    </row>
    <row r="3" spans="1:6">
      <c r="A3" s="5" t="s">
        <v>713</v>
      </c>
      <c r="B3" s="5">
        <v>11</v>
      </c>
      <c r="C3">
        <v>44</v>
      </c>
      <c r="D3">
        <v>3</v>
      </c>
      <c r="E3">
        <v>50</v>
      </c>
      <c r="F3">
        <v>97</v>
      </c>
    </row>
    <row r="4" spans="1:6">
      <c r="A4" s="5" t="s">
        <v>180</v>
      </c>
      <c r="B4" s="5">
        <v>1</v>
      </c>
      <c r="C4">
        <v>46</v>
      </c>
      <c r="D4">
        <v>6</v>
      </c>
      <c r="E4">
        <v>73</v>
      </c>
      <c r="F4">
        <v>125</v>
      </c>
    </row>
    <row r="5" spans="1:6">
      <c r="A5" s="5" t="s">
        <v>216</v>
      </c>
      <c r="B5" s="5">
        <v>12</v>
      </c>
      <c r="C5">
        <v>0</v>
      </c>
      <c r="D5">
        <v>2</v>
      </c>
      <c r="E5">
        <v>83</v>
      </c>
      <c r="F5">
        <v>85</v>
      </c>
    </row>
    <row r="6" spans="1:6">
      <c r="A6" s="5" t="s">
        <v>186</v>
      </c>
      <c r="B6" s="5">
        <v>3</v>
      </c>
      <c r="C6">
        <v>41</v>
      </c>
      <c r="D6">
        <v>2</v>
      </c>
      <c r="E6">
        <v>94</v>
      </c>
      <c r="F6">
        <v>137</v>
      </c>
    </row>
    <row r="7" spans="1:6">
      <c r="A7" s="5" t="s">
        <v>184</v>
      </c>
      <c r="B7" s="5">
        <v>13</v>
      </c>
      <c r="C7">
        <v>0</v>
      </c>
      <c r="D7">
        <v>0</v>
      </c>
      <c r="E7">
        <v>60</v>
      </c>
      <c r="F7">
        <v>60</v>
      </c>
    </row>
    <row r="8" spans="1:6">
      <c r="A8" s="5" t="s">
        <v>245</v>
      </c>
      <c r="B8" s="5">
        <v>14</v>
      </c>
      <c r="C8">
        <v>0</v>
      </c>
      <c r="D8">
        <v>0</v>
      </c>
      <c r="E8">
        <v>12</v>
      </c>
      <c r="F8">
        <v>12</v>
      </c>
    </row>
    <row r="9" spans="1:6">
      <c r="A9" s="5" t="s">
        <v>187</v>
      </c>
      <c r="B9" s="5">
        <v>2</v>
      </c>
      <c r="C9">
        <v>1</v>
      </c>
      <c r="D9">
        <v>0</v>
      </c>
      <c r="E9">
        <v>70</v>
      </c>
      <c r="F9">
        <v>71</v>
      </c>
    </row>
    <row r="10" spans="1:6">
      <c r="A10" s="5" t="s">
        <v>246</v>
      </c>
      <c r="B10" s="5">
        <v>15</v>
      </c>
      <c r="C10">
        <v>11</v>
      </c>
      <c r="D10">
        <v>0</v>
      </c>
      <c r="E10">
        <v>51</v>
      </c>
      <c r="F10">
        <v>62</v>
      </c>
    </row>
    <row r="11" spans="1:6">
      <c r="A11" s="5" t="s">
        <v>183</v>
      </c>
      <c r="B11" s="5">
        <v>8</v>
      </c>
      <c r="C11">
        <v>15</v>
      </c>
      <c r="D11">
        <v>8</v>
      </c>
      <c r="E11">
        <v>44</v>
      </c>
      <c r="F11">
        <v>67</v>
      </c>
    </row>
    <row r="12" spans="1:6">
      <c r="A12" s="5" t="s">
        <v>182</v>
      </c>
      <c r="B12" s="5">
        <v>9</v>
      </c>
      <c r="C12">
        <v>66</v>
      </c>
      <c r="D12">
        <v>12</v>
      </c>
      <c r="E12">
        <v>64</v>
      </c>
      <c r="F12">
        <v>142</v>
      </c>
    </row>
    <row r="13" spans="1:6">
      <c r="A13" s="5" t="s">
        <v>181</v>
      </c>
      <c r="B13" s="5">
        <v>4</v>
      </c>
      <c r="C13">
        <v>47</v>
      </c>
      <c r="D13">
        <v>4</v>
      </c>
      <c r="E13">
        <v>58</v>
      </c>
      <c r="F13">
        <v>109</v>
      </c>
    </row>
    <row r="14" spans="1:6">
      <c r="A14" s="5" t="s">
        <v>247</v>
      </c>
      <c r="B14" s="5">
        <v>5</v>
      </c>
      <c r="C14">
        <v>10</v>
      </c>
      <c r="D14">
        <v>3</v>
      </c>
      <c r="E14">
        <v>39</v>
      </c>
      <c r="F14">
        <v>52</v>
      </c>
    </row>
    <row r="15" spans="1:6">
      <c r="A15" s="5" t="s">
        <v>248</v>
      </c>
      <c r="B15" s="5">
        <v>6</v>
      </c>
      <c r="C15">
        <v>38</v>
      </c>
      <c r="D15">
        <v>5</v>
      </c>
      <c r="E15">
        <v>42</v>
      </c>
      <c r="F15">
        <v>85</v>
      </c>
    </row>
    <row r="16" spans="1:6">
      <c r="A16" s="5" t="s">
        <v>249</v>
      </c>
      <c r="B16" s="5">
        <v>7</v>
      </c>
      <c r="C16">
        <v>17</v>
      </c>
      <c r="D16">
        <v>3</v>
      </c>
      <c r="E16">
        <v>60</v>
      </c>
      <c r="F16">
        <v>80</v>
      </c>
    </row>
    <row r="17" spans="1:12">
      <c r="A17" s="5" t="s">
        <v>250</v>
      </c>
      <c r="B17" s="5">
        <v>16</v>
      </c>
      <c r="C17">
        <v>396</v>
      </c>
      <c r="D17">
        <v>52</v>
      </c>
      <c r="E17">
        <v>830</v>
      </c>
      <c r="F17" s="6">
        <v>1278</v>
      </c>
      <c r="L17" s="6"/>
    </row>
    <row r="19" spans="1:12">
      <c r="A19" t="s">
        <v>714</v>
      </c>
    </row>
  </sheetData>
  <phoneticPr fontId="1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>
    <tabColor indexed="8"/>
  </sheetPr>
  <dimension ref="A1:L17"/>
  <sheetViews>
    <sheetView workbookViewId="0">
      <selection activeCell="B2" sqref="B2"/>
    </sheetView>
  </sheetViews>
  <sheetFormatPr defaultRowHeight="12.75"/>
  <sheetData>
    <row r="1" spans="1:12">
      <c r="A1" s="1" t="s">
        <v>226</v>
      </c>
      <c r="B1" s="1" t="s">
        <v>251</v>
      </c>
      <c r="C1" s="1" t="s">
        <v>235</v>
      </c>
      <c r="D1" s="1" t="s">
        <v>236</v>
      </c>
      <c r="E1" s="1" t="s">
        <v>237</v>
      </c>
      <c r="F1" s="1" t="s">
        <v>238</v>
      </c>
      <c r="G1" s="1" t="s">
        <v>239</v>
      </c>
      <c r="H1" s="1" t="s">
        <v>240</v>
      </c>
      <c r="I1" s="1" t="s">
        <v>241</v>
      </c>
      <c r="J1" s="1" t="s">
        <v>242</v>
      </c>
    </row>
    <row r="2" spans="1:12">
      <c r="A2" t="s">
        <v>180</v>
      </c>
      <c r="B2">
        <v>1</v>
      </c>
      <c r="C2">
        <v>73</v>
      </c>
      <c r="D2">
        <v>43.682079999999999</v>
      </c>
      <c r="E2">
        <v>19.085319999999999</v>
      </c>
      <c r="F2">
        <v>9.6558840000000004</v>
      </c>
      <c r="G2">
        <v>18.77844</v>
      </c>
      <c r="H2">
        <v>44.193600000000004</v>
      </c>
      <c r="I2">
        <v>64.675539999999998</v>
      </c>
      <c r="J2">
        <v>101.8546</v>
      </c>
      <c r="K2" s="5"/>
      <c r="L2" s="5"/>
    </row>
    <row r="3" spans="1:12">
      <c r="A3" t="s">
        <v>187</v>
      </c>
      <c r="B3">
        <v>2</v>
      </c>
      <c r="C3">
        <v>70</v>
      </c>
      <c r="D3">
        <v>13.956910000000001</v>
      </c>
      <c r="E3">
        <v>2.9343949999999999</v>
      </c>
      <c r="F3">
        <v>3.3170169999999999</v>
      </c>
      <c r="G3">
        <v>10.21729</v>
      </c>
      <c r="H3">
        <v>14.175420000000001</v>
      </c>
      <c r="I3">
        <v>17.02637</v>
      </c>
      <c r="J3">
        <v>19.295529999999999</v>
      </c>
      <c r="K3" s="5"/>
      <c r="L3" s="5"/>
    </row>
    <row r="4" spans="1:12">
      <c r="A4" t="s">
        <v>186</v>
      </c>
      <c r="B4">
        <v>3</v>
      </c>
      <c r="C4">
        <v>94</v>
      </c>
      <c r="D4">
        <v>56.366050000000001</v>
      </c>
      <c r="E4">
        <v>19.905139999999999</v>
      </c>
      <c r="F4">
        <v>12.99902</v>
      </c>
      <c r="G4">
        <v>20.302980000000002</v>
      </c>
      <c r="H4">
        <v>65.822749999999999</v>
      </c>
      <c r="I4">
        <v>73.92456</v>
      </c>
      <c r="J4">
        <v>106.5402</v>
      </c>
      <c r="K4" s="5"/>
      <c r="L4" s="5"/>
    </row>
    <row r="5" spans="1:12">
      <c r="A5" t="s">
        <v>181</v>
      </c>
      <c r="B5">
        <v>4</v>
      </c>
      <c r="C5">
        <v>58</v>
      </c>
      <c r="D5">
        <v>39.12677</v>
      </c>
      <c r="E5">
        <v>19.7667</v>
      </c>
      <c r="F5">
        <v>4.1234130000000002</v>
      </c>
      <c r="G5">
        <v>16.029910000000001</v>
      </c>
      <c r="H5">
        <v>35.209470000000003</v>
      </c>
      <c r="I5">
        <v>64.433109999999999</v>
      </c>
      <c r="J5">
        <v>89.182249999999996</v>
      </c>
      <c r="K5" s="5"/>
      <c r="L5" s="5"/>
    </row>
    <row r="6" spans="1:12">
      <c r="A6" t="s">
        <v>247</v>
      </c>
      <c r="B6">
        <v>5</v>
      </c>
      <c r="C6">
        <v>39</v>
      </c>
      <c r="D6">
        <v>16.306370000000001</v>
      </c>
      <c r="E6">
        <v>7.2473419999999997</v>
      </c>
      <c r="F6">
        <v>2.0537109999999998</v>
      </c>
      <c r="G6">
        <v>8.7825930000000003</v>
      </c>
      <c r="H6">
        <v>15.63757</v>
      </c>
      <c r="I6">
        <v>27.98828</v>
      </c>
      <c r="J6">
        <v>32.985469999999999</v>
      </c>
      <c r="K6" s="5"/>
      <c r="L6" s="5"/>
    </row>
    <row r="7" spans="1:12">
      <c r="A7" t="s">
        <v>248</v>
      </c>
      <c r="B7">
        <v>6</v>
      </c>
      <c r="C7">
        <v>42</v>
      </c>
      <c r="D7">
        <v>79.594269999999995</v>
      </c>
      <c r="E7">
        <v>32.665019999999998</v>
      </c>
      <c r="F7">
        <v>24.91797</v>
      </c>
      <c r="G7">
        <v>30.933229999999998</v>
      </c>
      <c r="H7">
        <v>78.993470000000002</v>
      </c>
      <c r="I7">
        <v>122.95099999999999</v>
      </c>
      <c r="J7">
        <v>134.53540000000001</v>
      </c>
      <c r="K7" s="5"/>
      <c r="L7" s="5"/>
    </row>
    <row r="8" spans="1:12">
      <c r="A8" t="s">
        <v>249</v>
      </c>
      <c r="B8">
        <v>7</v>
      </c>
      <c r="C8">
        <v>60</v>
      </c>
      <c r="D8">
        <v>97.318770000000001</v>
      </c>
      <c r="E8">
        <v>26.42774</v>
      </c>
      <c r="F8">
        <v>24.979980000000001</v>
      </c>
      <c r="G8">
        <v>59.901609999999998</v>
      </c>
      <c r="H8">
        <v>100.96420000000001</v>
      </c>
      <c r="I8">
        <v>124.70140000000001</v>
      </c>
      <c r="J8">
        <v>137.28579999999999</v>
      </c>
      <c r="K8" s="5"/>
      <c r="L8" s="5"/>
    </row>
    <row r="9" spans="1:12">
      <c r="A9" t="s">
        <v>183</v>
      </c>
      <c r="B9">
        <v>8</v>
      </c>
      <c r="C9">
        <v>44</v>
      </c>
      <c r="D9">
        <v>45.6143</v>
      </c>
      <c r="E9">
        <v>31.058890000000002</v>
      </c>
      <c r="F9">
        <v>-4.1730960000000001</v>
      </c>
      <c r="G9">
        <v>16.941279999999999</v>
      </c>
      <c r="H9">
        <v>32.934690000000003</v>
      </c>
      <c r="I9">
        <v>98.268190000000004</v>
      </c>
      <c r="J9">
        <v>109.2026</v>
      </c>
      <c r="K9" s="5"/>
      <c r="L9" s="5"/>
    </row>
    <row r="10" spans="1:12">
      <c r="A10" t="s">
        <v>182</v>
      </c>
      <c r="B10">
        <v>9</v>
      </c>
      <c r="C10">
        <v>64</v>
      </c>
      <c r="D10">
        <v>51.542430000000003</v>
      </c>
      <c r="E10">
        <v>32.441389999999998</v>
      </c>
      <c r="F10">
        <v>-7.202026</v>
      </c>
      <c r="G10">
        <v>7.8459469999999998</v>
      </c>
      <c r="H10">
        <v>57.41986</v>
      </c>
      <c r="I10">
        <v>94.623540000000006</v>
      </c>
      <c r="J10">
        <v>113.3926</v>
      </c>
      <c r="K10" s="5"/>
      <c r="L10" s="5"/>
    </row>
    <row r="11" spans="1:12">
      <c r="A11" t="s">
        <v>243</v>
      </c>
      <c r="B11">
        <v>10</v>
      </c>
      <c r="C11">
        <v>30</v>
      </c>
      <c r="D11">
        <v>43.489849999999997</v>
      </c>
      <c r="E11">
        <v>13.530200000000001</v>
      </c>
      <c r="F11">
        <v>11.957280000000001</v>
      </c>
      <c r="G11">
        <v>24.44659</v>
      </c>
      <c r="H11">
        <v>41.793030000000002</v>
      </c>
      <c r="I11">
        <v>60.807980000000001</v>
      </c>
      <c r="J11">
        <v>73.953860000000006</v>
      </c>
      <c r="K11" s="5"/>
      <c r="L11" s="5"/>
    </row>
    <row r="12" spans="1:12">
      <c r="A12" t="s">
        <v>244</v>
      </c>
      <c r="B12">
        <v>11</v>
      </c>
      <c r="C12">
        <v>50</v>
      </c>
      <c r="D12">
        <v>33.896279999999997</v>
      </c>
      <c r="E12">
        <v>12.27155</v>
      </c>
      <c r="F12">
        <v>16.807130000000001</v>
      </c>
      <c r="G12">
        <v>21.124690000000001</v>
      </c>
      <c r="H12">
        <v>29.239260000000002</v>
      </c>
      <c r="I12">
        <v>52.876100000000001</v>
      </c>
      <c r="J12">
        <v>71.58972</v>
      </c>
      <c r="K12" s="5"/>
      <c r="L12" s="5"/>
    </row>
    <row r="13" spans="1:12">
      <c r="A13" t="s">
        <v>216</v>
      </c>
      <c r="B13">
        <v>12</v>
      </c>
      <c r="C13">
        <v>83</v>
      </c>
      <c r="D13">
        <v>14.61374</v>
      </c>
      <c r="E13">
        <v>3.9155069999999998</v>
      </c>
      <c r="F13">
        <v>4.7606999999999997E-3</v>
      </c>
      <c r="G13">
        <v>9.9647220000000001</v>
      </c>
      <c r="H13">
        <v>15.54834</v>
      </c>
      <c r="I13">
        <v>18.761600000000001</v>
      </c>
      <c r="J13">
        <v>19.77844</v>
      </c>
      <c r="K13" s="5"/>
      <c r="L13" s="5"/>
    </row>
    <row r="14" spans="1:12">
      <c r="A14" t="s">
        <v>184</v>
      </c>
      <c r="B14">
        <v>13</v>
      </c>
      <c r="C14">
        <v>60</v>
      </c>
      <c r="D14">
        <v>7.7982440000000004</v>
      </c>
      <c r="E14">
        <v>2.174369</v>
      </c>
      <c r="F14">
        <v>-0.13476560000000001</v>
      </c>
      <c r="G14">
        <v>5.014526</v>
      </c>
      <c r="H14">
        <v>7.7683720000000003</v>
      </c>
      <c r="I14">
        <v>10.723269999999999</v>
      </c>
      <c r="J14">
        <v>10.93689</v>
      </c>
      <c r="K14" s="5"/>
      <c r="L14" s="5"/>
    </row>
    <row r="15" spans="1:12">
      <c r="A15" t="s">
        <v>245</v>
      </c>
      <c r="B15">
        <v>14</v>
      </c>
      <c r="C15">
        <v>12</v>
      </c>
      <c r="D15">
        <v>5.3016759999999996</v>
      </c>
      <c r="E15">
        <v>2.2925960000000001</v>
      </c>
      <c r="F15">
        <v>2.6217039999999998</v>
      </c>
      <c r="G15">
        <v>2.8748779999999998</v>
      </c>
      <c r="H15">
        <v>4.6826780000000001</v>
      </c>
      <c r="I15">
        <v>7.3814700000000002</v>
      </c>
      <c r="J15">
        <v>10.139530000000001</v>
      </c>
      <c r="K15" s="5"/>
      <c r="L15" s="5"/>
    </row>
    <row r="16" spans="1:12">
      <c r="A16" t="s">
        <v>246</v>
      </c>
      <c r="B16">
        <v>15</v>
      </c>
      <c r="C16">
        <v>51</v>
      </c>
      <c r="D16">
        <v>120.4513</v>
      </c>
      <c r="E16">
        <v>51.070140000000002</v>
      </c>
      <c r="F16">
        <v>29.708010000000002</v>
      </c>
      <c r="G16">
        <v>56.953980000000001</v>
      </c>
      <c r="H16">
        <v>122.52800000000001</v>
      </c>
      <c r="I16">
        <v>178.77699999999999</v>
      </c>
      <c r="J16">
        <v>179.7159</v>
      </c>
      <c r="K16" s="5"/>
      <c r="L16" s="5"/>
    </row>
    <row r="17" spans="1:12">
      <c r="A17" t="s">
        <v>250</v>
      </c>
      <c r="B17">
        <v>16</v>
      </c>
      <c r="C17">
        <v>830</v>
      </c>
      <c r="D17">
        <v>45.475059999999999</v>
      </c>
      <c r="E17">
        <v>38.541339999999998</v>
      </c>
      <c r="F17">
        <v>2.6217039999999998</v>
      </c>
      <c r="G17">
        <v>9.0011600000000005</v>
      </c>
      <c r="H17">
        <v>32.498539999999998</v>
      </c>
      <c r="I17">
        <v>99.264889999999994</v>
      </c>
      <c r="J17">
        <v>178.15299999999999</v>
      </c>
      <c r="K17" s="5"/>
      <c r="L17" s="5"/>
    </row>
  </sheetData>
  <sortState ref="A22:J37">
    <sortCondition ref="B22:B37"/>
  </sortState>
  <phoneticPr fontId="1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 enableFormatConditionsCalculation="0">
    <tabColor indexed="8"/>
  </sheetPr>
  <dimension ref="A1:G16"/>
  <sheetViews>
    <sheetView workbookViewId="0">
      <selection activeCell="L18" sqref="L18:L19"/>
    </sheetView>
  </sheetViews>
  <sheetFormatPr defaultRowHeight="12.75"/>
  <sheetData>
    <row r="1" spans="1:7">
      <c r="A1" t="s">
        <v>228</v>
      </c>
      <c r="B1" t="s">
        <v>229</v>
      </c>
      <c r="C1" t="s">
        <v>206</v>
      </c>
      <c r="D1" t="s">
        <v>230</v>
      </c>
      <c r="E1" t="s">
        <v>231</v>
      </c>
      <c r="F1" t="s">
        <v>232</v>
      </c>
      <c r="G1" t="s">
        <v>233</v>
      </c>
    </row>
    <row r="2" spans="1:7">
      <c r="A2">
        <v>1</v>
      </c>
      <c r="B2">
        <v>96.417230000000004</v>
      </c>
      <c r="C2">
        <v>17.719750000000001</v>
      </c>
      <c r="D2">
        <v>5.44</v>
      </c>
      <c r="E2">
        <v>0</v>
      </c>
      <c r="F2">
        <v>61.625689999999999</v>
      </c>
      <c r="G2">
        <v>131.2088</v>
      </c>
    </row>
    <row r="3" spans="1:7">
      <c r="A3">
        <v>2</v>
      </c>
      <c r="B3">
        <v>73.027690000000007</v>
      </c>
      <c r="C3">
        <v>17.735220000000002</v>
      </c>
      <c r="D3">
        <v>4.12</v>
      </c>
      <c r="E3">
        <v>0</v>
      </c>
      <c r="F3">
        <v>38.205759999999998</v>
      </c>
      <c r="G3">
        <v>107.8496</v>
      </c>
    </row>
    <row r="4" spans="1:7">
      <c r="A4">
        <v>3</v>
      </c>
      <c r="B4">
        <v>104.35680000000001</v>
      </c>
      <c r="C4">
        <v>17.705549999999999</v>
      </c>
      <c r="D4">
        <v>5.89</v>
      </c>
      <c r="E4">
        <v>0</v>
      </c>
      <c r="F4">
        <v>69.593140000000005</v>
      </c>
      <c r="G4">
        <v>139.12049999999999</v>
      </c>
    </row>
    <row r="5" spans="1:7">
      <c r="A5">
        <v>4</v>
      </c>
      <c r="B5">
        <v>94.84</v>
      </c>
      <c r="C5">
        <v>17.7469</v>
      </c>
      <c r="D5">
        <v>5.34</v>
      </c>
      <c r="E5">
        <v>0</v>
      </c>
      <c r="F5">
        <v>59.995139999999999</v>
      </c>
      <c r="G5">
        <v>129.6849</v>
      </c>
    </row>
    <row r="6" spans="1:7">
      <c r="A6">
        <v>5</v>
      </c>
      <c r="B6">
        <v>79.855609999999999</v>
      </c>
      <c r="C6">
        <v>17.834070000000001</v>
      </c>
      <c r="D6">
        <v>4.4800000000000004</v>
      </c>
      <c r="E6">
        <v>0</v>
      </c>
      <c r="F6">
        <v>44.83961</v>
      </c>
      <c r="G6">
        <v>114.8716</v>
      </c>
    </row>
    <row r="7" spans="1:7">
      <c r="A7">
        <v>6</v>
      </c>
      <c r="B7">
        <v>138.9213</v>
      </c>
      <c r="C7">
        <v>17.817209999999999</v>
      </c>
      <c r="D7">
        <v>7.8</v>
      </c>
      <c r="E7">
        <v>0</v>
      </c>
      <c r="F7">
        <v>103.9384</v>
      </c>
      <c r="G7">
        <v>173.9042</v>
      </c>
    </row>
    <row r="8" spans="1:7">
      <c r="A8">
        <v>7</v>
      </c>
      <c r="B8">
        <v>152.1711</v>
      </c>
      <c r="C8">
        <v>17.753520000000002</v>
      </c>
      <c r="D8">
        <v>8.57</v>
      </c>
      <c r="E8">
        <v>0</v>
      </c>
      <c r="F8">
        <v>117.3133</v>
      </c>
      <c r="G8">
        <v>187.02889999999999</v>
      </c>
    </row>
    <row r="9" spans="1:7">
      <c r="A9">
        <v>8</v>
      </c>
      <c r="B9">
        <v>107.71639999999999</v>
      </c>
      <c r="C9">
        <v>17.806439999999998</v>
      </c>
      <c r="D9">
        <v>6.05</v>
      </c>
      <c r="E9">
        <v>0</v>
      </c>
      <c r="F9">
        <v>72.754689999999997</v>
      </c>
      <c r="G9">
        <v>142.6782</v>
      </c>
    </row>
    <row r="10" spans="1:7">
      <c r="A10">
        <v>9</v>
      </c>
      <c r="B10">
        <v>103.249</v>
      </c>
      <c r="C10">
        <v>17.446840000000002</v>
      </c>
      <c r="D10">
        <v>5.92</v>
      </c>
      <c r="E10">
        <v>0</v>
      </c>
      <c r="F10">
        <v>68.993309999999994</v>
      </c>
      <c r="G10">
        <v>137.50470000000001</v>
      </c>
    </row>
    <row r="11" spans="1:7">
      <c r="A11">
        <v>10</v>
      </c>
      <c r="B11">
        <v>102.9953</v>
      </c>
      <c r="C11">
        <v>17.895240000000001</v>
      </c>
      <c r="D11">
        <v>5.76</v>
      </c>
      <c r="E11">
        <v>0</v>
      </c>
      <c r="F11">
        <v>67.859210000000004</v>
      </c>
      <c r="G11">
        <v>138.13140000000001</v>
      </c>
    </row>
    <row r="12" spans="1:7">
      <c r="A12">
        <v>11</v>
      </c>
      <c r="B12">
        <v>93.572149999999993</v>
      </c>
      <c r="C12">
        <v>17.773700000000002</v>
      </c>
      <c r="D12">
        <v>5.26</v>
      </c>
      <c r="E12">
        <v>0</v>
      </c>
      <c r="F12">
        <v>58.674680000000002</v>
      </c>
      <c r="G12">
        <v>128.46960000000001</v>
      </c>
    </row>
    <row r="13" spans="1:7">
      <c r="A13">
        <v>12</v>
      </c>
      <c r="B13">
        <v>71.395409999999998</v>
      </c>
      <c r="C13">
        <v>17.713270000000001</v>
      </c>
      <c r="D13">
        <v>4.03</v>
      </c>
      <c r="E13">
        <v>0</v>
      </c>
      <c r="F13">
        <v>36.616590000000002</v>
      </c>
      <c r="G13">
        <v>106.1742</v>
      </c>
    </row>
    <row r="14" spans="1:7">
      <c r="A14">
        <v>13</v>
      </c>
      <c r="B14">
        <v>68.067239999999998</v>
      </c>
      <c r="C14">
        <v>17.75647</v>
      </c>
      <c r="D14">
        <v>3.83</v>
      </c>
      <c r="E14">
        <v>0</v>
      </c>
      <c r="F14">
        <v>33.203600000000002</v>
      </c>
      <c r="G14">
        <v>102.93089999999999</v>
      </c>
    </row>
    <row r="15" spans="1:7">
      <c r="A15">
        <v>14</v>
      </c>
      <c r="B15">
        <v>78.910380000000004</v>
      </c>
      <c r="C15">
        <v>18.357309999999998</v>
      </c>
      <c r="D15">
        <v>4.3</v>
      </c>
      <c r="E15">
        <v>0</v>
      </c>
      <c r="F15">
        <v>42.867019999999997</v>
      </c>
      <c r="G15">
        <v>114.9537</v>
      </c>
    </row>
    <row r="16" spans="1:7">
      <c r="A16">
        <v>15</v>
      </c>
      <c r="B16">
        <v>176.6377</v>
      </c>
      <c r="C16">
        <v>17.778120000000001</v>
      </c>
      <c r="D16">
        <v>9.94</v>
      </c>
      <c r="E16">
        <v>0</v>
      </c>
      <c r="F16">
        <v>141.73159999999999</v>
      </c>
      <c r="G16">
        <v>211.54390000000001</v>
      </c>
    </row>
  </sheetData>
  <phoneticPr fontId="1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 enableFormatConditionsCalculation="0">
    <tabColor indexed="8"/>
  </sheetPr>
  <dimension ref="A1:R173"/>
  <sheetViews>
    <sheetView workbookViewId="0">
      <selection activeCell="C38" sqref="C38"/>
    </sheetView>
  </sheetViews>
  <sheetFormatPr defaultRowHeight="12.75"/>
  <sheetData>
    <row r="1" spans="1:18">
      <c r="C1">
        <v>2</v>
      </c>
      <c r="D1">
        <f>C1+1</f>
        <v>3</v>
      </c>
      <c r="E1">
        <f t="shared" ref="E1:H1" si="0">D1+1</f>
        <v>4</v>
      </c>
      <c r="F1">
        <f t="shared" si="0"/>
        <v>5</v>
      </c>
      <c r="G1">
        <f t="shared" si="0"/>
        <v>6</v>
      </c>
      <c r="H1">
        <f t="shared" si="0"/>
        <v>7</v>
      </c>
    </row>
    <row r="2" spans="1:18">
      <c r="A2" t="s">
        <v>211</v>
      </c>
      <c r="B2" t="s">
        <v>204</v>
      </c>
      <c r="C2" t="s">
        <v>205</v>
      </c>
      <c r="D2" t="s">
        <v>206</v>
      </c>
      <c r="E2" t="s">
        <v>207</v>
      </c>
      <c r="F2" t="s">
        <v>208</v>
      </c>
      <c r="G2" t="s">
        <v>209</v>
      </c>
      <c r="H2" t="s">
        <v>210</v>
      </c>
    </row>
    <row r="3" spans="1:18">
      <c r="A3">
        <v>1</v>
      </c>
      <c r="C3">
        <f t="shared" ref="C3:H12" si="1">VLOOKUP($A3,CountryFEs,C$1,FALSE)</f>
        <v>-35.453850000000003</v>
      </c>
      <c r="D3">
        <f t="shared" si="1"/>
        <v>24.85717</v>
      </c>
      <c r="E3">
        <f t="shared" si="1"/>
        <v>-1.43</v>
      </c>
      <c r="F3">
        <f t="shared" si="1"/>
        <v>0.154</v>
      </c>
      <c r="G3">
        <f t="shared" si="1"/>
        <v>-84.259230000000002</v>
      </c>
      <c r="H3">
        <f t="shared" si="1"/>
        <v>13.35154</v>
      </c>
      <c r="L3">
        <v>1</v>
      </c>
      <c r="M3">
        <v>-35.453850000000003</v>
      </c>
      <c r="N3">
        <v>24.85717</v>
      </c>
      <c r="O3">
        <v>-1.43</v>
      </c>
      <c r="P3">
        <v>0.154</v>
      </c>
      <c r="Q3">
        <v>-84.259230000000002</v>
      </c>
      <c r="R3">
        <v>13.35154</v>
      </c>
    </row>
    <row r="4" spans="1:18">
      <c r="A4">
        <v>2</v>
      </c>
      <c r="C4">
        <f t="shared" si="1"/>
        <v>-36.182250000000003</v>
      </c>
      <c r="D4">
        <f t="shared" si="1"/>
        <v>21.563590000000001</v>
      </c>
      <c r="E4">
        <f t="shared" si="1"/>
        <v>-1.68</v>
      </c>
      <c r="F4">
        <f t="shared" si="1"/>
        <v>9.4E-2</v>
      </c>
      <c r="G4">
        <f t="shared" si="1"/>
        <v>-78.520930000000007</v>
      </c>
      <c r="H4">
        <f t="shared" si="1"/>
        <v>6.1564209999999999</v>
      </c>
      <c r="L4">
        <v>2</v>
      </c>
      <c r="M4">
        <v>-36.182250000000003</v>
      </c>
      <c r="N4">
        <v>21.563590000000001</v>
      </c>
      <c r="O4">
        <v>-1.68</v>
      </c>
      <c r="P4">
        <v>9.4E-2</v>
      </c>
      <c r="Q4">
        <v>-78.520930000000007</v>
      </c>
      <c r="R4">
        <v>6.1564209999999999</v>
      </c>
    </row>
    <row r="5" spans="1:18">
      <c r="A5">
        <v>3</v>
      </c>
      <c r="C5">
        <f t="shared" si="1"/>
        <v>-63.695320000000002</v>
      </c>
      <c r="D5">
        <f t="shared" si="1"/>
        <v>18.45609</v>
      </c>
      <c r="E5">
        <f t="shared" si="1"/>
        <v>-3.45</v>
      </c>
      <c r="F5">
        <f t="shared" si="1"/>
        <v>1E-3</v>
      </c>
      <c r="G5">
        <f t="shared" si="1"/>
        <v>-99.932609999999997</v>
      </c>
      <c r="H5">
        <f t="shared" si="1"/>
        <v>-27.458030000000001</v>
      </c>
      <c r="L5">
        <v>3</v>
      </c>
      <c r="M5">
        <v>-63.695320000000002</v>
      </c>
      <c r="N5">
        <v>18.45609</v>
      </c>
      <c r="O5">
        <v>-3.45</v>
      </c>
      <c r="P5">
        <v>1E-3</v>
      </c>
      <c r="Q5">
        <v>-99.932609999999997</v>
      </c>
      <c r="R5">
        <v>-27.458030000000001</v>
      </c>
    </row>
    <row r="6" spans="1:18">
      <c r="A6">
        <v>4</v>
      </c>
      <c r="C6" t="e">
        <f t="shared" si="1"/>
        <v>#N/A</v>
      </c>
      <c r="D6" t="e">
        <f t="shared" si="1"/>
        <v>#N/A</v>
      </c>
      <c r="E6" t="e">
        <f t="shared" si="1"/>
        <v>#N/A</v>
      </c>
      <c r="F6" t="e">
        <f t="shared" si="1"/>
        <v>#N/A</v>
      </c>
      <c r="G6" t="e">
        <f t="shared" si="1"/>
        <v>#N/A</v>
      </c>
      <c r="H6" t="e">
        <f t="shared" si="1"/>
        <v>#N/A</v>
      </c>
      <c r="L6">
        <v>4</v>
      </c>
      <c r="M6" t="e">
        <f>NA()</f>
        <v>#N/A</v>
      </c>
      <c r="N6" t="e">
        <f>NA()</f>
        <v>#N/A</v>
      </c>
      <c r="O6" t="e">
        <f>NA()</f>
        <v>#N/A</v>
      </c>
      <c r="P6" t="e">
        <f>NA()</f>
        <v>#N/A</v>
      </c>
      <c r="Q6" t="e">
        <f>NA()</f>
        <v>#N/A</v>
      </c>
      <c r="R6" t="e">
        <f>NA()</f>
        <v>#N/A</v>
      </c>
    </row>
    <row r="7" spans="1:18">
      <c r="A7">
        <v>5</v>
      </c>
      <c r="C7">
        <f t="shared" si="1"/>
        <v>-68.595489999999998</v>
      </c>
      <c r="D7">
        <f t="shared" si="1"/>
        <v>18.667390000000001</v>
      </c>
      <c r="E7">
        <f t="shared" si="1"/>
        <v>-3.67</v>
      </c>
      <c r="F7">
        <f t="shared" si="1"/>
        <v>0</v>
      </c>
      <c r="G7">
        <f t="shared" si="1"/>
        <v>-105.24769999999999</v>
      </c>
      <c r="H7">
        <f t="shared" si="1"/>
        <v>-31.94331</v>
      </c>
      <c r="L7">
        <v>5</v>
      </c>
      <c r="M7">
        <v>-68.595489999999998</v>
      </c>
      <c r="N7">
        <v>18.667390000000001</v>
      </c>
      <c r="O7">
        <v>-3.67</v>
      </c>
      <c r="P7">
        <v>0</v>
      </c>
      <c r="Q7">
        <v>-105.24769999999999</v>
      </c>
      <c r="R7">
        <v>-31.94331</v>
      </c>
    </row>
    <row r="8" spans="1:18">
      <c r="A8">
        <v>6</v>
      </c>
      <c r="C8">
        <f t="shared" si="1"/>
        <v>-57.428330000000003</v>
      </c>
      <c r="D8">
        <f t="shared" si="1"/>
        <v>24.893460000000001</v>
      </c>
      <c r="E8">
        <f t="shared" si="1"/>
        <v>-2.31</v>
      </c>
      <c r="F8">
        <f t="shared" si="1"/>
        <v>2.1000000000000001E-2</v>
      </c>
      <c r="G8">
        <f t="shared" si="1"/>
        <v>-106.30500000000001</v>
      </c>
      <c r="H8">
        <f t="shared" si="1"/>
        <v>-8.5516729999999992</v>
      </c>
      <c r="L8">
        <v>6</v>
      </c>
      <c r="M8">
        <v>-57.428330000000003</v>
      </c>
      <c r="N8">
        <v>24.893460000000001</v>
      </c>
      <c r="O8">
        <v>-2.31</v>
      </c>
      <c r="P8">
        <v>2.1000000000000001E-2</v>
      </c>
      <c r="Q8">
        <v>-106.30500000000001</v>
      </c>
      <c r="R8">
        <v>-8.5516729999999992</v>
      </c>
    </row>
    <row r="9" spans="1:18">
      <c r="A9">
        <v>7</v>
      </c>
      <c r="C9">
        <f t="shared" si="1"/>
        <v>-70.903189999999995</v>
      </c>
      <c r="D9">
        <f t="shared" si="1"/>
        <v>18.38458</v>
      </c>
      <c r="E9">
        <f t="shared" si="1"/>
        <v>-3.86</v>
      </c>
      <c r="F9">
        <f t="shared" si="1"/>
        <v>0</v>
      </c>
      <c r="G9">
        <f t="shared" si="1"/>
        <v>-107.0001</v>
      </c>
      <c r="H9">
        <f t="shared" si="1"/>
        <v>-34.8063</v>
      </c>
      <c r="L9">
        <v>7</v>
      </c>
      <c r="M9">
        <v>-70.903189999999995</v>
      </c>
      <c r="N9">
        <v>18.38458</v>
      </c>
      <c r="O9">
        <v>-3.86</v>
      </c>
      <c r="P9">
        <v>0</v>
      </c>
      <c r="Q9">
        <v>-107.0001</v>
      </c>
      <c r="R9">
        <v>-34.8063</v>
      </c>
    </row>
    <row r="10" spans="1:18">
      <c r="A10">
        <v>8</v>
      </c>
      <c r="C10">
        <f t="shared" si="1"/>
        <v>-78.902460000000005</v>
      </c>
      <c r="D10">
        <f t="shared" si="1"/>
        <v>18.158090000000001</v>
      </c>
      <c r="E10">
        <f t="shared" si="1"/>
        <v>-4.3499999999999996</v>
      </c>
      <c r="F10">
        <f t="shared" si="1"/>
        <v>0</v>
      </c>
      <c r="G10">
        <f t="shared" si="1"/>
        <v>-114.5547</v>
      </c>
      <c r="H10">
        <f t="shared" si="1"/>
        <v>-43.250279999999997</v>
      </c>
      <c r="L10">
        <v>8</v>
      </c>
      <c r="M10">
        <v>-78.902460000000005</v>
      </c>
      <c r="N10">
        <v>18.158090000000001</v>
      </c>
      <c r="O10">
        <v>-4.3499999999999996</v>
      </c>
      <c r="P10">
        <v>0</v>
      </c>
      <c r="Q10">
        <v>-114.5547</v>
      </c>
      <c r="R10">
        <v>-43.250279999999997</v>
      </c>
    </row>
    <row r="11" spans="1:18">
      <c r="A11">
        <v>9</v>
      </c>
      <c r="C11" t="e">
        <f t="shared" si="1"/>
        <v>#N/A</v>
      </c>
      <c r="D11" t="e">
        <f t="shared" si="1"/>
        <v>#N/A</v>
      </c>
      <c r="E11" t="e">
        <f t="shared" si="1"/>
        <v>#N/A</v>
      </c>
      <c r="F11" t="e">
        <f t="shared" si="1"/>
        <v>#N/A</v>
      </c>
      <c r="G11" t="e">
        <f t="shared" si="1"/>
        <v>#N/A</v>
      </c>
      <c r="H11" t="e">
        <f t="shared" si="1"/>
        <v>#N/A</v>
      </c>
      <c r="L11">
        <v>10</v>
      </c>
      <c r="M11" t="e">
        <f>NA()</f>
        <v>#N/A</v>
      </c>
      <c r="N11" t="e">
        <f>NA()</f>
        <v>#N/A</v>
      </c>
      <c r="O11" t="e">
        <f>NA()</f>
        <v>#N/A</v>
      </c>
      <c r="P11" t="e">
        <f>NA()</f>
        <v>#N/A</v>
      </c>
      <c r="Q11" t="e">
        <f>NA()</f>
        <v>#N/A</v>
      </c>
      <c r="R11" t="e">
        <f>NA()</f>
        <v>#N/A</v>
      </c>
    </row>
    <row r="12" spans="1:18">
      <c r="A12">
        <v>10</v>
      </c>
      <c r="C12" t="e">
        <f t="shared" si="1"/>
        <v>#N/A</v>
      </c>
      <c r="D12" t="e">
        <f t="shared" si="1"/>
        <v>#N/A</v>
      </c>
      <c r="E12" t="e">
        <f t="shared" si="1"/>
        <v>#N/A</v>
      </c>
      <c r="F12" t="e">
        <f t="shared" si="1"/>
        <v>#N/A</v>
      </c>
      <c r="G12" t="e">
        <f t="shared" si="1"/>
        <v>#N/A</v>
      </c>
      <c r="H12" t="e">
        <f t="shared" si="1"/>
        <v>#N/A</v>
      </c>
      <c r="L12">
        <v>11</v>
      </c>
      <c r="M12">
        <v>-31.653949999999998</v>
      </c>
      <c r="N12">
        <v>18.96292</v>
      </c>
      <c r="O12">
        <v>-1.67</v>
      </c>
      <c r="P12">
        <v>9.6000000000000002E-2</v>
      </c>
      <c r="Q12">
        <v>-68.886380000000003</v>
      </c>
      <c r="R12">
        <v>5.5784849999999997</v>
      </c>
    </row>
    <row r="13" spans="1:18">
      <c r="A13">
        <v>11</v>
      </c>
      <c r="C13">
        <f t="shared" ref="C13:H22" si="2">VLOOKUP($A13,CountryFEs,C$1,FALSE)</f>
        <v>-31.653949999999998</v>
      </c>
      <c r="D13">
        <f t="shared" si="2"/>
        <v>18.96292</v>
      </c>
      <c r="E13">
        <f t="shared" si="2"/>
        <v>-1.67</v>
      </c>
      <c r="F13">
        <f t="shared" si="2"/>
        <v>9.6000000000000002E-2</v>
      </c>
      <c r="G13">
        <f t="shared" si="2"/>
        <v>-68.886380000000003</v>
      </c>
      <c r="H13">
        <f t="shared" si="2"/>
        <v>5.5784849999999997</v>
      </c>
      <c r="L13">
        <v>12</v>
      </c>
      <c r="M13">
        <v>-54.663209999999999</v>
      </c>
      <c r="N13">
        <v>21.548490000000001</v>
      </c>
      <c r="O13">
        <v>-2.54</v>
      </c>
      <c r="P13">
        <v>1.0999999999999999E-2</v>
      </c>
      <c r="Q13">
        <v>-96.972229999999996</v>
      </c>
      <c r="R13">
        <v>-12.354200000000001</v>
      </c>
    </row>
    <row r="14" spans="1:18">
      <c r="A14">
        <v>12</v>
      </c>
      <c r="C14">
        <f t="shared" si="2"/>
        <v>-54.663209999999999</v>
      </c>
      <c r="D14">
        <f t="shared" si="2"/>
        <v>21.548490000000001</v>
      </c>
      <c r="E14">
        <f t="shared" si="2"/>
        <v>-2.54</v>
      </c>
      <c r="F14">
        <f t="shared" si="2"/>
        <v>1.0999999999999999E-2</v>
      </c>
      <c r="G14">
        <f t="shared" si="2"/>
        <v>-96.972229999999996</v>
      </c>
      <c r="H14">
        <f t="shared" si="2"/>
        <v>-12.354200000000001</v>
      </c>
      <c r="L14">
        <v>13</v>
      </c>
      <c r="M14">
        <v>-78.010329999999996</v>
      </c>
      <c r="N14">
        <v>18.194479999999999</v>
      </c>
      <c r="O14">
        <v>-4.29</v>
      </c>
      <c r="P14">
        <v>0</v>
      </c>
      <c r="Q14">
        <v>-113.73399999999999</v>
      </c>
      <c r="R14">
        <v>-42.28669</v>
      </c>
    </row>
    <row r="15" spans="1:18">
      <c r="A15">
        <v>13</v>
      </c>
      <c r="C15">
        <f t="shared" si="2"/>
        <v>-78.010329999999996</v>
      </c>
      <c r="D15">
        <f t="shared" si="2"/>
        <v>18.194479999999999</v>
      </c>
      <c r="E15">
        <f t="shared" si="2"/>
        <v>-4.29</v>
      </c>
      <c r="F15">
        <f t="shared" si="2"/>
        <v>0</v>
      </c>
      <c r="G15">
        <f t="shared" si="2"/>
        <v>-113.73399999999999</v>
      </c>
      <c r="H15">
        <f t="shared" si="2"/>
        <v>-42.28669</v>
      </c>
      <c r="L15">
        <v>14</v>
      </c>
      <c r="M15" t="e">
        <f>NA()</f>
        <v>#N/A</v>
      </c>
      <c r="N15" t="e">
        <f>NA()</f>
        <v>#N/A</v>
      </c>
      <c r="O15" t="e">
        <f>NA()</f>
        <v>#N/A</v>
      </c>
      <c r="P15" t="e">
        <f>NA()</f>
        <v>#N/A</v>
      </c>
      <c r="Q15" t="e">
        <f>NA()</f>
        <v>#N/A</v>
      </c>
      <c r="R15" t="e">
        <f>NA()</f>
        <v>#N/A</v>
      </c>
    </row>
    <row r="16" spans="1:18">
      <c r="A16">
        <v>14</v>
      </c>
      <c r="C16" t="e">
        <f t="shared" si="2"/>
        <v>#N/A</v>
      </c>
      <c r="D16" t="e">
        <f t="shared" si="2"/>
        <v>#N/A</v>
      </c>
      <c r="E16" t="e">
        <f t="shared" si="2"/>
        <v>#N/A</v>
      </c>
      <c r="F16" t="e">
        <f t="shared" si="2"/>
        <v>#N/A</v>
      </c>
      <c r="G16" t="e">
        <f t="shared" si="2"/>
        <v>#N/A</v>
      </c>
      <c r="H16" t="e">
        <f t="shared" si="2"/>
        <v>#N/A</v>
      </c>
      <c r="L16">
        <v>15</v>
      </c>
      <c r="M16" t="e">
        <f>NA()</f>
        <v>#N/A</v>
      </c>
      <c r="N16" t="e">
        <f>NA()</f>
        <v>#N/A</v>
      </c>
      <c r="O16" t="e">
        <f>NA()</f>
        <v>#N/A</v>
      </c>
      <c r="P16" t="e">
        <f>NA()</f>
        <v>#N/A</v>
      </c>
      <c r="Q16" t="e">
        <f>NA()</f>
        <v>#N/A</v>
      </c>
      <c r="R16" t="e">
        <f>NA()</f>
        <v>#N/A</v>
      </c>
    </row>
    <row r="17" spans="1:18">
      <c r="A17">
        <v>15</v>
      </c>
      <c r="C17" t="e">
        <f t="shared" si="2"/>
        <v>#N/A</v>
      </c>
      <c r="D17" t="e">
        <f t="shared" si="2"/>
        <v>#N/A</v>
      </c>
      <c r="E17" t="e">
        <f t="shared" si="2"/>
        <v>#N/A</v>
      </c>
      <c r="F17" t="e">
        <f t="shared" si="2"/>
        <v>#N/A</v>
      </c>
      <c r="G17" t="e">
        <f t="shared" si="2"/>
        <v>#N/A</v>
      </c>
      <c r="H17" t="e">
        <f t="shared" si="2"/>
        <v>#N/A</v>
      </c>
      <c r="L17">
        <v>16</v>
      </c>
      <c r="M17">
        <v>-50.209859999999999</v>
      </c>
      <c r="N17">
        <v>19.66929</v>
      </c>
      <c r="O17">
        <v>-2.5499999999999998</v>
      </c>
      <c r="P17">
        <v>1.0999999999999999E-2</v>
      </c>
      <c r="Q17">
        <v>-88.829189999999997</v>
      </c>
      <c r="R17">
        <v>-11.590529999999999</v>
      </c>
    </row>
    <row r="18" spans="1:18">
      <c r="A18">
        <v>16</v>
      </c>
      <c r="C18">
        <f t="shared" si="2"/>
        <v>-50.209859999999999</v>
      </c>
      <c r="D18">
        <f t="shared" si="2"/>
        <v>19.66929</v>
      </c>
      <c r="E18">
        <f t="shared" si="2"/>
        <v>-2.5499999999999998</v>
      </c>
      <c r="F18">
        <f t="shared" si="2"/>
        <v>1.0999999999999999E-2</v>
      </c>
      <c r="G18">
        <f t="shared" si="2"/>
        <v>-88.829189999999997</v>
      </c>
      <c r="H18">
        <f t="shared" si="2"/>
        <v>-11.590529999999999</v>
      </c>
      <c r="L18">
        <v>17</v>
      </c>
      <c r="M18">
        <v>6.1634580000000003</v>
      </c>
      <c r="N18">
        <v>21.421060000000001</v>
      </c>
      <c r="O18">
        <v>0.28999999999999998</v>
      </c>
      <c r="P18">
        <v>0.77400000000000002</v>
      </c>
      <c r="Q18">
        <v>-35.89537</v>
      </c>
      <c r="R18">
        <v>48.222290000000001</v>
      </c>
    </row>
    <row r="19" spans="1:18">
      <c r="A19">
        <v>17</v>
      </c>
      <c r="C19">
        <f t="shared" si="2"/>
        <v>6.1634580000000003</v>
      </c>
      <c r="D19">
        <f t="shared" si="2"/>
        <v>21.421060000000001</v>
      </c>
      <c r="E19">
        <f t="shared" si="2"/>
        <v>0.28999999999999998</v>
      </c>
      <c r="F19">
        <f t="shared" si="2"/>
        <v>0.77400000000000002</v>
      </c>
      <c r="G19">
        <f t="shared" si="2"/>
        <v>-35.89537</v>
      </c>
      <c r="H19">
        <f t="shared" si="2"/>
        <v>48.222290000000001</v>
      </c>
      <c r="L19">
        <v>18</v>
      </c>
      <c r="M19">
        <v>-22.235230000000001</v>
      </c>
      <c r="N19">
        <v>19.602429999999998</v>
      </c>
      <c r="O19">
        <v>-1.1299999999999999</v>
      </c>
      <c r="P19">
        <v>0.25700000000000001</v>
      </c>
      <c r="Q19">
        <v>-60.723300000000002</v>
      </c>
      <c r="R19">
        <v>16.252839999999999</v>
      </c>
    </row>
    <row r="20" spans="1:18">
      <c r="A20">
        <v>18</v>
      </c>
      <c r="C20">
        <f t="shared" si="2"/>
        <v>-22.235230000000001</v>
      </c>
      <c r="D20">
        <f t="shared" si="2"/>
        <v>19.602429999999998</v>
      </c>
      <c r="E20">
        <f t="shared" si="2"/>
        <v>-1.1299999999999999</v>
      </c>
      <c r="F20">
        <f t="shared" si="2"/>
        <v>0.25700000000000001</v>
      </c>
      <c r="G20">
        <f t="shared" si="2"/>
        <v>-60.723300000000002</v>
      </c>
      <c r="H20">
        <f t="shared" si="2"/>
        <v>16.252839999999999</v>
      </c>
      <c r="L20">
        <v>19</v>
      </c>
      <c r="M20">
        <v>-66.127880000000005</v>
      </c>
      <c r="N20">
        <v>18.194479999999999</v>
      </c>
      <c r="O20">
        <v>-3.63</v>
      </c>
      <c r="P20">
        <v>0</v>
      </c>
      <c r="Q20">
        <v>-101.8515</v>
      </c>
      <c r="R20">
        <v>-30.404240000000001</v>
      </c>
    </row>
    <row r="21" spans="1:18">
      <c r="A21">
        <v>19</v>
      </c>
      <c r="C21">
        <f t="shared" si="2"/>
        <v>-66.127880000000005</v>
      </c>
      <c r="D21">
        <f t="shared" si="2"/>
        <v>18.194479999999999</v>
      </c>
      <c r="E21">
        <f t="shared" si="2"/>
        <v>-3.63</v>
      </c>
      <c r="F21">
        <f t="shared" si="2"/>
        <v>0</v>
      </c>
      <c r="G21">
        <f t="shared" si="2"/>
        <v>-101.8515</v>
      </c>
      <c r="H21">
        <f t="shared" si="2"/>
        <v>-30.404240000000001</v>
      </c>
      <c r="L21">
        <v>20</v>
      </c>
      <c r="M21">
        <v>-63.24333</v>
      </c>
      <c r="N21">
        <v>18.771799999999999</v>
      </c>
      <c r="O21">
        <v>-3.37</v>
      </c>
      <c r="P21">
        <v>1E-3</v>
      </c>
      <c r="Q21">
        <v>-100.1005</v>
      </c>
      <c r="R21">
        <v>-26.386150000000001</v>
      </c>
    </row>
    <row r="22" spans="1:18">
      <c r="A22">
        <v>20</v>
      </c>
      <c r="C22">
        <f t="shared" si="2"/>
        <v>-63.24333</v>
      </c>
      <c r="D22">
        <f t="shared" si="2"/>
        <v>18.771799999999999</v>
      </c>
      <c r="E22">
        <f t="shared" si="2"/>
        <v>-3.37</v>
      </c>
      <c r="F22">
        <f t="shared" si="2"/>
        <v>1E-3</v>
      </c>
      <c r="G22">
        <f t="shared" si="2"/>
        <v>-100.1005</v>
      </c>
      <c r="H22">
        <f t="shared" si="2"/>
        <v>-26.386150000000001</v>
      </c>
      <c r="L22">
        <v>21</v>
      </c>
      <c r="M22">
        <v>-49.980130000000003</v>
      </c>
      <c r="N22">
        <v>20.22814</v>
      </c>
      <c r="O22">
        <v>-2.4700000000000002</v>
      </c>
      <c r="P22">
        <v>1.4E-2</v>
      </c>
      <c r="Q22">
        <v>-89.696740000000005</v>
      </c>
      <c r="R22">
        <v>-10.263529999999999</v>
      </c>
    </row>
    <row r="23" spans="1:18">
      <c r="A23">
        <v>21</v>
      </c>
      <c r="C23">
        <f t="shared" ref="C23:H32" si="3">VLOOKUP($A23,CountryFEs,C$1,FALSE)</f>
        <v>-49.980130000000003</v>
      </c>
      <c r="D23">
        <f t="shared" si="3"/>
        <v>20.22814</v>
      </c>
      <c r="E23">
        <f t="shared" si="3"/>
        <v>-2.4700000000000002</v>
      </c>
      <c r="F23">
        <f t="shared" si="3"/>
        <v>1.4E-2</v>
      </c>
      <c r="G23">
        <f t="shared" si="3"/>
        <v>-89.696740000000005</v>
      </c>
      <c r="H23">
        <f t="shared" si="3"/>
        <v>-10.263529999999999</v>
      </c>
      <c r="L23">
        <v>22</v>
      </c>
      <c r="M23">
        <v>-36.642299999999999</v>
      </c>
      <c r="N23">
        <v>20.311319999999998</v>
      </c>
      <c r="O23">
        <v>-1.8</v>
      </c>
      <c r="P23">
        <v>7.1999999999999995E-2</v>
      </c>
      <c r="Q23">
        <v>-76.522220000000004</v>
      </c>
      <c r="R23">
        <v>3.237625</v>
      </c>
    </row>
    <row r="24" spans="1:18">
      <c r="A24">
        <v>22</v>
      </c>
      <c r="C24">
        <f t="shared" si="3"/>
        <v>-36.642299999999999</v>
      </c>
      <c r="D24">
        <f t="shared" si="3"/>
        <v>20.311319999999998</v>
      </c>
      <c r="E24">
        <f t="shared" si="3"/>
        <v>-1.8</v>
      </c>
      <c r="F24">
        <f t="shared" si="3"/>
        <v>7.1999999999999995E-2</v>
      </c>
      <c r="G24">
        <f t="shared" si="3"/>
        <v>-76.522220000000004</v>
      </c>
      <c r="H24">
        <f t="shared" si="3"/>
        <v>3.237625</v>
      </c>
      <c r="L24">
        <v>23</v>
      </c>
      <c r="M24">
        <v>-29.945029999999999</v>
      </c>
      <c r="N24">
        <v>19.60332</v>
      </c>
      <c r="O24">
        <v>-1.53</v>
      </c>
      <c r="P24">
        <v>0.127</v>
      </c>
      <c r="Q24">
        <v>-68.434849999999997</v>
      </c>
      <c r="R24">
        <v>8.5447799999999994</v>
      </c>
    </row>
    <row r="25" spans="1:18">
      <c r="A25">
        <v>23</v>
      </c>
      <c r="C25">
        <f t="shared" si="3"/>
        <v>-29.945029999999999</v>
      </c>
      <c r="D25">
        <f t="shared" si="3"/>
        <v>19.60332</v>
      </c>
      <c r="E25">
        <f t="shared" si="3"/>
        <v>-1.53</v>
      </c>
      <c r="F25">
        <f t="shared" si="3"/>
        <v>0.127</v>
      </c>
      <c r="G25">
        <f t="shared" si="3"/>
        <v>-68.434849999999997</v>
      </c>
      <c r="H25">
        <f t="shared" si="3"/>
        <v>8.5447799999999994</v>
      </c>
      <c r="L25">
        <v>24</v>
      </c>
      <c r="M25">
        <v>-29.79177</v>
      </c>
      <c r="N25">
        <v>19.67475</v>
      </c>
      <c r="O25">
        <v>-1.51</v>
      </c>
      <c r="P25">
        <v>0.13</v>
      </c>
      <c r="Q25">
        <v>-68.42183</v>
      </c>
      <c r="R25">
        <v>8.8382950000000005</v>
      </c>
    </row>
    <row r="26" spans="1:18">
      <c r="A26">
        <v>24</v>
      </c>
      <c r="C26">
        <f t="shared" si="3"/>
        <v>-29.79177</v>
      </c>
      <c r="D26">
        <f t="shared" si="3"/>
        <v>19.67475</v>
      </c>
      <c r="E26">
        <f t="shared" si="3"/>
        <v>-1.51</v>
      </c>
      <c r="F26">
        <f t="shared" si="3"/>
        <v>0.13</v>
      </c>
      <c r="G26">
        <f t="shared" si="3"/>
        <v>-68.42183</v>
      </c>
      <c r="H26">
        <f t="shared" si="3"/>
        <v>8.8382950000000005</v>
      </c>
      <c r="L26">
        <v>25</v>
      </c>
      <c r="M26">
        <v>-75.801439999999999</v>
      </c>
      <c r="N26">
        <v>18.3216</v>
      </c>
      <c r="O26">
        <v>-4.1399999999999997</v>
      </c>
      <c r="P26">
        <v>0</v>
      </c>
      <c r="Q26">
        <v>-111.7747</v>
      </c>
      <c r="R26">
        <v>-39.828200000000002</v>
      </c>
    </row>
    <row r="27" spans="1:18">
      <c r="A27">
        <v>25</v>
      </c>
      <c r="C27">
        <f t="shared" si="3"/>
        <v>-75.801439999999999</v>
      </c>
      <c r="D27">
        <f t="shared" si="3"/>
        <v>18.3216</v>
      </c>
      <c r="E27">
        <f t="shared" si="3"/>
        <v>-4.1399999999999997</v>
      </c>
      <c r="F27">
        <f t="shared" si="3"/>
        <v>0</v>
      </c>
      <c r="G27">
        <f t="shared" si="3"/>
        <v>-111.7747</v>
      </c>
      <c r="H27">
        <f t="shared" si="3"/>
        <v>-39.828200000000002</v>
      </c>
      <c r="L27">
        <v>26</v>
      </c>
      <c r="M27">
        <v>-32.65099</v>
      </c>
      <c r="N27">
        <v>24.85717</v>
      </c>
      <c r="O27">
        <v>-1.31</v>
      </c>
      <c r="P27">
        <v>0.189</v>
      </c>
      <c r="Q27">
        <v>-81.456370000000007</v>
      </c>
      <c r="R27">
        <v>16.154389999999999</v>
      </c>
    </row>
    <row r="28" spans="1:18">
      <c r="A28">
        <v>26</v>
      </c>
      <c r="C28">
        <f t="shared" si="3"/>
        <v>-32.65099</v>
      </c>
      <c r="D28">
        <f t="shared" si="3"/>
        <v>24.85717</v>
      </c>
      <c r="E28">
        <f t="shared" si="3"/>
        <v>-1.31</v>
      </c>
      <c r="F28">
        <f t="shared" si="3"/>
        <v>0.189</v>
      </c>
      <c r="G28">
        <f t="shared" si="3"/>
        <v>-81.456370000000007</v>
      </c>
      <c r="H28">
        <f t="shared" si="3"/>
        <v>16.154389999999999</v>
      </c>
      <c r="L28">
        <v>27</v>
      </c>
      <c r="M28">
        <v>-33.397449999999999</v>
      </c>
      <c r="N28">
        <v>24.85717</v>
      </c>
      <c r="O28">
        <v>-1.34</v>
      </c>
      <c r="P28">
        <v>0.18</v>
      </c>
      <c r="Q28">
        <v>-82.202830000000006</v>
      </c>
      <c r="R28">
        <v>15.40793</v>
      </c>
    </row>
    <row r="29" spans="1:18">
      <c r="A29">
        <v>27</v>
      </c>
      <c r="C29">
        <f t="shared" si="3"/>
        <v>-33.397449999999999</v>
      </c>
      <c r="D29">
        <f t="shared" si="3"/>
        <v>24.85717</v>
      </c>
      <c r="E29">
        <f t="shared" si="3"/>
        <v>-1.34</v>
      </c>
      <c r="F29">
        <f t="shared" si="3"/>
        <v>0.18</v>
      </c>
      <c r="G29">
        <f t="shared" si="3"/>
        <v>-82.202830000000006</v>
      </c>
      <c r="H29">
        <f t="shared" si="3"/>
        <v>15.40793</v>
      </c>
      <c r="L29">
        <v>28</v>
      </c>
      <c r="M29">
        <v>-69.400980000000004</v>
      </c>
      <c r="N29">
        <v>18.665120000000002</v>
      </c>
      <c r="O29">
        <v>-3.72</v>
      </c>
      <c r="P29">
        <v>0</v>
      </c>
      <c r="Q29">
        <v>-106.0487</v>
      </c>
      <c r="R29">
        <v>-32.753259999999997</v>
      </c>
    </row>
    <row r="30" spans="1:18">
      <c r="A30">
        <v>28</v>
      </c>
      <c r="C30">
        <f t="shared" si="3"/>
        <v>-69.400980000000004</v>
      </c>
      <c r="D30">
        <f t="shared" si="3"/>
        <v>18.665120000000002</v>
      </c>
      <c r="E30">
        <f t="shared" si="3"/>
        <v>-3.72</v>
      </c>
      <c r="F30">
        <f t="shared" si="3"/>
        <v>0</v>
      </c>
      <c r="G30">
        <f t="shared" si="3"/>
        <v>-106.0487</v>
      </c>
      <c r="H30">
        <f t="shared" si="3"/>
        <v>-32.753259999999997</v>
      </c>
      <c r="L30">
        <v>29</v>
      </c>
      <c r="M30">
        <v>-46.597439999999999</v>
      </c>
      <c r="N30">
        <v>18.240320000000001</v>
      </c>
      <c r="O30">
        <v>-2.5499999999999998</v>
      </c>
      <c r="P30">
        <v>1.0999999999999999E-2</v>
      </c>
      <c r="Q30">
        <v>-82.411090000000002</v>
      </c>
      <c r="R30">
        <v>-10.78379</v>
      </c>
    </row>
    <row r="31" spans="1:18">
      <c r="A31">
        <v>29</v>
      </c>
      <c r="C31">
        <f t="shared" si="3"/>
        <v>-46.597439999999999</v>
      </c>
      <c r="D31">
        <f t="shared" si="3"/>
        <v>18.240320000000001</v>
      </c>
      <c r="E31">
        <f t="shared" si="3"/>
        <v>-2.5499999999999998</v>
      </c>
      <c r="F31">
        <f t="shared" si="3"/>
        <v>1.0999999999999999E-2</v>
      </c>
      <c r="G31">
        <f t="shared" si="3"/>
        <v>-82.411090000000002</v>
      </c>
      <c r="H31">
        <f t="shared" si="3"/>
        <v>-10.78379</v>
      </c>
      <c r="L31">
        <v>30</v>
      </c>
      <c r="M31">
        <v>-59.778759999999998</v>
      </c>
      <c r="N31">
        <v>18.427340000000001</v>
      </c>
      <c r="O31">
        <v>-3.24</v>
      </c>
      <c r="P31">
        <v>1E-3</v>
      </c>
      <c r="Q31">
        <v>-95.959620000000001</v>
      </c>
      <c r="R31">
        <v>-23.597909999999999</v>
      </c>
    </row>
    <row r="32" spans="1:18">
      <c r="A32">
        <v>30</v>
      </c>
      <c r="C32">
        <f t="shared" si="3"/>
        <v>-59.778759999999998</v>
      </c>
      <c r="D32">
        <f t="shared" si="3"/>
        <v>18.427340000000001</v>
      </c>
      <c r="E32">
        <f t="shared" si="3"/>
        <v>-3.24</v>
      </c>
      <c r="F32">
        <f t="shared" si="3"/>
        <v>1E-3</v>
      </c>
      <c r="G32">
        <f t="shared" si="3"/>
        <v>-95.959620000000001</v>
      </c>
      <c r="H32">
        <f t="shared" si="3"/>
        <v>-23.597909999999999</v>
      </c>
      <c r="L32">
        <v>31</v>
      </c>
      <c r="M32">
        <v>-34.267629999999997</v>
      </c>
      <c r="N32">
        <v>19.67475</v>
      </c>
      <c r="O32">
        <v>-1.74</v>
      </c>
      <c r="P32">
        <v>8.2000000000000003E-2</v>
      </c>
      <c r="Q32">
        <v>-72.897689999999997</v>
      </c>
      <c r="R32">
        <v>4.3624340000000004</v>
      </c>
    </row>
    <row r="33" spans="1:18">
      <c r="A33">
        <v>31</v>
      </c>
      <c r="C33">
        <f t="shared" ref="C33:H42" si="4">VLOOKUP($A33,CountryFEs,C$1,FALSE)</f>
        <v>-34.267629999999997</v>
      </c>
      <c r="D33">
        <f t="shared" si="4"/>
        <v>19.67475</v>
      </c>
      <c r="E33">
        <f t="shared" si="4"/>
        <v>-1.74</v>
      </c>
      <c r="F33">
        <f t="shared" si="4"/>
        <v>8.2000000000000003E-2</v>
      </c>
      <c r="G33">
        <f t="shared" si="4"/>
        <v>-72.897689999999997</v>
      </c>
      <c r="H33">
        <f t="shared" si="4"/>
        <v>4.3624340000000004</v>
      </c>
      <c r="L33">
        <v>32</v>
      </c>
      <c r="M33">
        <v>-64.312510000000003</v>
      </c>
      <c r="N33">
        <v>19.218589999999999</v>
      </c>
      <c r="O33">
        <v>-3.35</v>
      </c>
      <c r="P33">
        <v>1E-3</v>
      </c>
      <c r="Q33">
        <v>-102.04689999999999</v>
      </c>
      <c r="R33">
        <v>-26.57809</v>
      </c>
    </row>
    <row r="34" spans="1:18">
      <c r="A34">
        <v>32</v>
      </c>
      <c r="C34">
        <f t="shared" si="4"/>
        <v>-64.312510000000003</v>
      </c>
      <c r="D34">
        <f t="shared" si="4"/>
        <v>19.218589999999999</v>
      </c>
      <c r="E34">
        <f t="shared" si="4"/>
        <v>-3.35</v>
      </c>
      <c r="F34">
        <f t="shared" si="4"/>
        <v>1E-3</v>
      </c>
      <c r="G34">
        <f t="shared" si="4"/>
        <v>-102.04689999999999</v>
      </c>
      <c r="H34">
        <f t="shared" si="4"/>
        <v>-26.57809</v>
      </c>
      <c r="L34">
        <v>33</v>
      </c>
      <c r="M34">
        <v>-56.739370000000001</v>
      </c>
      <c r="N34">
        <v>20.317820000000001</v>
      </c>
      <c r="O34">
        <v>-2.79</v>
      </c>
      <c r="P34">
        <v>5.0000000000000001E-3</v>
      </c>
      <c r="Q34">
        <v>-96.632059999999996</v>
      </c>
      <c r="R34">
        <v>-16.846689999999999</v>
      </c>
    </row>
    <row r="35" spans="1:18">
      <c r="A35">
        <v>33</v>
      </c>
      <c r="C35">
        <f t="shared" si="4"/>
        <v>-56.739370000000001</v>
      </c>
      <c r="D35">
        <f t="shared" si="4"/>
        <v>20.317820000000001</v>
      </c>
      <c r="E35">
        <f t="shared" si="4"/>
        <v>-2.79</v>
      </c>
      <c r="F35">
        <f t="shared" si="4"/>
        <v>5.0000000000000001E-3</v>
      </c>
      <c r="G35">
        <f t="shared" si="4"/>
        <v>-96.632059999999996</v>
      </c>
      <c r="H35">
        <f t="shared" si="4"/>
        <v>-16.846689999999999</v>
      </c>
      <c r="L35">
        <v>34</v>
      </c>
      <c r="M35">
        <v>-56.681980000000003</v>
      </c>
      <c r="N35">
        <v>19.67184</v>
      </c>
      <c r="O35">
        <v>-2.88</v>
      </c>
      <c r="P35">
        <v>4.0000000000000001E-3</v>
      </c>
      <c r="Q35">
        <v>-95.306319999999999</v>
      </c>
      <c r="R35">
        <v>-18.057639999999999</v>
      </c>
    </row>
    <row r="36" spans="1:18">
      <c r="A36">
        <v>34</v>
      </c>
      <c r="C36">
        <f t="shared" si="4"/>
        <v>-56.681980000000003</v>
      </c>
      <c r="D36">
        <f t="shared" si="4"/>
        <v>19.67184</v>
      </c>
      <c r="E36">
        <f t="shared" si="4"/>
        <v>-2.88</v>
      </c>
      <c r="F36">
        <f t="shared" si="4"/>
        <v>4.0000000000000001E-3</v>
      </c>
      <c r="G36">
        <f t="shared" si="4"/>
        <v>-95.306319999999999</v>
      </c>
      <c r="H36">
        <f t="shared" si="4"/>
        <v>-18.057639999999999</v>
      </c>
      <c r="L36">
        <v>35</v>
      </c>
      <c r="M36">
        <v>-61.537439999999997</v>
      </c>
      <c r="N36">
        <v>18.518789999999999</v>
      </c>
      <c r="O36">
        <v>-3.32</v>
      </c>
      <c r="P36">
        <v>1E-3</v>
      </c>
      <c r="Q36">
        <v>-97.897850000000005</v>
      </c>
      <c r="R36">
        <v>-25.177029999999998</v>
      </c>
    </row>
    <row r="37" spans="1:18">
      <c r="A37">
        <v>35</v>
      </c>
      <c r="C37">
        <f t="shared" si="4"/>
        <v>-61.537439999999997</v>
      </c>
      <c r="D37">
        <f t="shared" si="4"/>
        <v>18.518789999999999</v>
      </c>
      <c r="E37">
        <f t="shared" si="4"/>
        <v>-3.32</v>
      </c>
      <c r="F37">
        <f t="shared" si="4"/>
        <v>1E-3</v>
      </c>
      <c r="G37">
        <f t="shared" si="4"/>
        <v>-97.897850000000005</v>
      </c>
      <c r="H37">
        <f t="shared" si="4"/>
        <v>-25.177029999999998</v>
      </c>
      <c r="L37">
        <v>36</v>
      </c>
      <c r="M37">
        <v>-50.629390000000001</v>
      </c>
      <c r="N37">
        <v>18.97954</v>
      </c>
      <c r="O37">
        <v>-2.67</v>
      </c>
      <c r="P37">
        <v>8.0000000000000002E-3</v>
      </c>
      <c r="Q37">
        <v>-87.894450000000006</v>
      </c>
      <c r="R37">
        <v>-13.364330000000001</v>
      </c>
    </row>
    <row r="38" spans="1:18">
      <c r="A38">
        <v>36</v>
      </c>
      <c r="C38">
        <f t="shared" si="4"/>
        <v>-50.629390000000001</v>
      </c>
      <c r="D38">
        <f t="shared" si="4"/>
        <v>18.97954</v>
      </c>
      <c r="E38">
        <f t="shared" si="4"/>
        <v>-2.67</v>
      </c>
      <c r="F38">
        <f t="shared" si="4"/>
        <v>8.0000000000000002E-3</v>
      </c>
      <c r="G38">
        <f t="shared" si="4"/>
        <v>-87.894450000000006</v>
      </c>
      <c r="H38">
        <f t="shared" si="4"/>
        <v>-13.364330000000001</v>
      </c>
      <c r="L38">
        <v>37</v>
      </c>
      <c r="M38">
        <v>-76.056870000000004</v>
      </c>
      <c r="N38">
        <v>18.239100000000001</v>
      </c>
      <c r="O38">
        <v>-4.17</v>
      </c>
      <c r="P38">
        <v>0</v>
      </c>
      <c r="Q38">
        <v>-111.8681</v>
      </c>
      <c r="R38">
        <v>-40.245620000000002</v>
      </c>
    </row>
    <row r="39" spans="1:18">
      <c r="A39">
        <v>37</v>
      </c>
      <c r="C39">
        <f t="shared" si="4"/>
        <v>-76.056870000000004</v>
      </c>
      <c r="D39">
        <f t="shared" si="4"/>
        <v>18.239100000000001</v>
      </c>
      <c r="E39">
        <f t="shared" si="4"/>
        <v>-4.17</v>
      </c>
      <c r="F39">
        <f t="shared" si="4"/>
        <v>0</v>
      </c>
      <c r="G39">
        <f t="shared" si="4"/>
        <v>-111.8681</v>
      </c>
      <c r="H39">
        <f t="shared" si="4"/>
        <v>-40.245620000000002</v>
      </c>
      <c r="L39">
        <v>38</v>
      </c>
      <c r="M39">
        <v>-43.264270000000003</v>
      </c>
      <c r="N39">
        <v>19.216709999999999</v>
      </c>
      <c r="O39">
        <v>-2.25</v>
      </c>
      <c r="P39">
        <v>2.5000000000000001E-2</v>
      </c>
      <c r="Q39">
        <v>-80.994990000000001</v>
      </c>
      <c r="R39">
        <v>-5.5335390000000002</v>
      </c>
    </row>
    <row r="40" spans="1:18">
      <c r="A40">
        <v>38</v>
      </c>
      <c r="C40">
        <f t="shared" si="4"/>
        <v>-43.264270000000003</v>
      </c>
      <c r="D40">
        <f t="shared" si="4"/>
        <v>19.216709999999999</v>
      </c>
      <c r="E40">
        <f t="shared" si="4"/>
        <v>-2.25</v>
      </c>
      <c r="F40">
        <f t="shared" si="4"/>
        <v>2.5000000000000001E-2</v>
      </c>
      <c r="G40">
        <f t="shared" si="4"/>
        <v>-80.994990000000001</v>
      </c>
      <c r="H40">
        <f t="shared" si="4"/>
        <v>-5.5335390000000002</v>
      </c>
      <c r="L40">
        <v>39</v>
      </c>
      <c r="M40">
        <v>-46.430860000000003</v>
      </c>
      <c r="N40">
        <v>18.516960000000001</v>
      </c>
      <c r="O40">
        <v>-2.5099999999999998</v>
      </c>
      <c r="P40">
        <v>1.2E-2</v>
      </c>
      <c r="Q40">
        <v>-82.787679999999995</v>
      </c>
      <c r="R40">
        <v>-10.07405</v>
      </c>
    </row>
    <row r="41" spans="1:18">
      <c r="A41">
        <v>39</v>
      </c>
      <c r="C41">
        <f t="shared" si="4"/>
        <v>-46.430860000000003</v>
      </c>
      <c r="D41">
        <f t="shared" si="4"/>
        <v>18.516960000000001</v>
      </c>
      <c r="E41">
        <f t="shared" si="4"/>
        <v>-2.5099999999999998</v>
      </c>
      <c r="F41">
        <f t="shared" si="4"/>
        <v>1.2E-2</v>
      </c>
      <c r="G41">
        <f t="shared" si="4"/>
        <v>-82.787679999999995</v>
      </c>
      <c r="H41">
        <f t="shared" si="4"/>
        <v>-10.07405</v>
      </c>
      <c r="L41">
        <v>40</v>
      </c>
      <c r="M41">
        <v>-47.61768</v>
      </c>
      <c r="N41">
        <v>18.663399999999999</v>
      </c>
      <c r="O41">
        <v>-2.5499999999999998</v>
      </c>
      <c r="P41">
        <v>1.0999999999999999E-2</v>
      </c>
      <c r="Q41">
        <v>-84.262029999999996</v>
      </c>
      <c r="R41">
        <v>-10.97334</v>
      </c>
    </row>
    <row r="42" spans="1:18">
      <c r="A42">
        <v>40</v>
      </c>
      <c r="C42">
        <f t="shared" si="4"/>
        <v>-47.61768</v>
      </c>
      <c r="D42">
        <f t="shared" si="4"/>
        <v>18.663399999999999</v>
      </c>
      <c r="E42">
        <f t="shared" si="4"/>
        <v>-2.5499999999999998</v>
      </c>
      <c r="F42">
        <f t="shared" si="4"/>
        <v>1.0999999999999999E-2</v>
      </c>
      <c r="G42">
        <f t="shared" si="4"/>
        <v>-84.262029999999996</v>
      </c>
      <c r="H42">
        <f t="shared" si="4"/>
        <v>-10.97334</v>
      </c>
      <c r="L42">
        <v>41</v>
      </c>
      <c r="M42">
        <v>-55.882269999999998</v>
      </c>
      <c r="N42">
        <v>19.666160000000001</v>
      </c>
      <c r="O42">
        <v>-2.84</v>
      </c>
      <c r="P42">
        <v>5.0000000000000001E-3</v>
      </c>
      <c r="Q42">
        <v>-94.495459999999994</v>
      </c>
      <c r="R42">
        <v>-17.269079999999999</v>
      </c>
    </row>
    <row r="43" spans="1:18">
      <c r="A43">
        <v>41</v>
      </c>
      <c r="C43">
        <f t="shared" ref="C43:H52" si="5">VLOOKUP($A43,CountryFEs,C$1,FALSE)</f>
        <v>-55.882269999999998</v>
      </c>
      <c r="D43">
        <f t="shared" si="5"/>
        <v>19.666160000000001</v>
      </c>
      <c r="E43">
        <f t="shared" si="5"/>
        <v>-2.84</v>
      </c>
      <c r="F43">
        <f t="shared" si="5"/>
        <v>5.0000000000000001E-3</v>
      </c>
      <c r="G43">
        <f t="shared" si="5"/>
        <v>-94.495459999999994</v>
      </c>
      <c r="H43">
        <f t="shared" si="5"/>
        <v>-17.269079999999999</v>
      </c>
      <c r="L43">
        <v>42</v>
      </c>
      <c r="M43" t="e">
        <f>NA()</f>
        <v>#N/A</v>
      </c>
      <c r="N43" t="e">
        <f>NA()</f>
        <v>#N/A</v>
      </c>
      <c r="O43" t="e">
        <f>NA()</f>
        <v>#N/A</v>
      </c>
      <c r="P43" t="e">
        <f>NA()</f>
        <v>#N/A</v>
      </c>
      <c r="Q43" t="e">
        <f>NA()</f>
        <v>#N/A</v>
      </c>
      <c r="R43" t="e">
        <f>NA()</f>
        <v>#N/A</v>
      </c>
    </row>
    <row r="44" spans="1:18">
      <c r="A44">
        <v>42</v>
      </c>
      <c r="C44" t="e">
        <f t="shared" si="5"/>
        <v>#N/A</v>
      </c>
      <c r="D44" t="e">
        <f t="shared" si="5"/>
        <v>#N/A</v>
      </c>
      <c r="E44" t="e">
        <f t="shared" si="5"/>
        <v>#N/A</v>
      </c>
      <c r="F44" t="e">
        <f t="shared" si="5"/>
        <v>#N/A</v>
      </c>
      <c r="G44" t="e">
        <f t="shared" si="5"/>
        <v>#N/A</v>
      </c>
      <c r="H44" t="e">
        <f t="shared" si="5"/>
        <v>#N/A</v>
      </c>
      <c r="L44">
        <v>43</v>
      </c>
      <c r="M44" t="e">
        <f>NA()</f>
        <v>#N/A</v>
      </c>
      <c r="N44" t="e">
        <f>NA()</f>
        <v>#N/A</v>
      </c>
      <c r="O44" t="e">
        <f>NA()</f>
        <v>#N/A</v>
      </c>
      <c r="P44" t="e">
        <f>NA()</f>
        <v>#N/A</v>
      </c>
      <c r="Q44" t="e">
        <f>NA()</f>
        <v>#N/A</v>
      </c>
      <c r="R44" t="e">
        <f>NA()</f>
        <v>#N/A</v>
      </c>
    </row>
    <row r="45" spans="1:18">
      <c r="A45">
        <v>43</v>
      </c>
      <c r="C45" t="e">
        <f t="shared" si="5"/>
        <v>#N/A</v>
      </c>
      <c r="D45" t="e">
        <f t="shared" si="5"/>
        <v>#N/A</v>
      </c>
      <c r="E45" t="e">
        <f t="shared" si="5"/>
        <v>#N/A</v>
      </c>
      <c r="F45" t="e">
        <f t="shared" si="5"/>
        <v>#N/A</v>
      </c>
      <c r="G45" t="e">
        <f t="shared" si="5"/>
        <v>#N/A</v>
      </c>
      <c r="H45" t="e">
        <f t="shared" si="5"/>
        <v>#N/A</v>
      </c>
      <c r="L45">
        <v>44</v>
      </c>
      <c r="M45">
        <v>-56.621040000000001</v>
      </c>
      <c r="N45">
        <v>21.548490000000001</v>
      </c>
      <c r="O45">
        <v>-2.63</v>
      </c>
      <c r="P45">
        <v>8.9999999999999993E-3</v>
      </c>
      <c r="Q45">
        <v>-98.930049999999994</v>
      </c>
      <c r="R45">
        <v>-14.31202</v>
      </c>
    </row>
    <row r="46" spans="1:18">
      <c r="A46">
        <v>44</v>
      </c>
      <c r="C46">
        <f t="shared" si="5"/>
        <v>-56.621040000000001</v>
      </c>
      <c r="D46">
        <f t="shared" si="5"/>
        <v>21.548490000000001</v>
      </c>
      <c r="E46">
        <f t="shared" si="5"/>
        <v>-2.63</v>
      </c>
      <c r="F46">
        <f t="shared" si="5"/>
        <v>8.9999999999999993E-3</v>
      </c>
      <c r="G46">
        <f t="shared" si="5"/>
        <v>-98.930049999999994</v>
      </c>
      <c r="H46">
        <f t="shared" si="5"/>
        <v>-14.31202</v>
      </c>
      <c r="L46">
        <v>45</v>
      </c>
      <c r="M46" t="e">
        <f>NA()</f>
        <v>#N/A</v>
      </c>
      <c r="N46" t="e">
        <f>NA()</f>
        <v>#N/A</v>
      </c>
      <c r="O46" t="e">
        <f>NA()</f>
        <v>#N/A</v>
      </c>
      <c r="P46" t="e">
        <f>NA()</f>
        <v>#N/A</v>
      </c>
      <c r="Q46" t="e">
        <f>NA()</f>
        <v>#N/A</v>
      </c>
      <c r="R46" t="e">
        <f>NA()</f>
        <v>#N/A</v>
      </c>
    </row>
    <row r="47" spans="1:18">
      <c r="A47">
        <v>45</v>
      </c>
      <c r="C47" t="e">
        <f t="shared" si="5"/>
        <v>#N/A</v>
      </c>
      <c r="D47" t="e">
        <f t="shared" si="5"/>
        <v>#N/A</v>
      </c>
      <c r="E47" t="e">
        <f t="shared" si="5"/>
        <v>#N/A</v>
      </c>
      <c r="F47" t="e">
        <f t="shared" si="5"/>
        <v>#N/A</v>
      </c>
      <c r="G47" t="e">
        <f t="shared" si="5"/>
        <v>#N/A</v>
      </c>
      <c r="H47" t="e">
        <f t="shared" si="5"/>
        <v>#N/A</v>
      </c>
      <c r="L47">
        <v>46</v>
      </c>
      <c r="M47">
        <v>-71.626320000000007</v>
      </c>
      <c r="N47">
        <v>18.197839999999999</v>
      </c>
      <c r="O47">
        <v>-3.94</v>
      </c>
      <c r="P47">
        <v>0</v>
      </c>
      <c r="Q47">
        <v>-107.3566</v>
      </c>
      <c r="R47">
        <v>-35.896079999999998</v>
      </c>
    </row>
    <row r="48" spans="1:18">
      <c r="A48">
        <v>46</v>
      </c>
      <c r="C48">
        <f t="shared" si="5"/>
        <v>-71.626320000000007</v>
      </c>
      <c r="D48">
        <f t="shared" si="5"/>
        <v>18.197839999999999</v>
      </c>
      <c r="E48">
        <f t="shared" si="5"/>
        <v>-3.94</v>
      </c>
      <c r="F48">
        <f t="shared" si="5"/>
        <v>0</v>
      </c>
      <c r="G48">
        <f t="shared" si="5"/>
        <v>-107.3566</v>
      </c>
      <c r="H48">
        <f t="shared" si="5"/>
        <v>-35.896079999999998</v>
      </c>
      <c r="L48">
        <v>47</v>
      </c>
      <c r="M48">
        <v>-80.582999999999998</v>
      </c>
      <c r="N48">
        <v>18.197839999999999</v>
      </c>
      <c r="O48">
        <v>-4.43</v>
      </c>
      <c r="P48">
        <v>0</v>
      </c>
      <c r="Q48">
        <v>-116.31319999999999</v>
      </c>
      <c r="R48">
        <v>-44.852760000000004</v>
      </c>
    </row>
    <row r="49" spans="1:18">
      <c r="A49">
        <v>47</v>
      </c>
      <c r="C49">
        <f t="shared" si="5"/>
        <v>-80.582999999999998</v>
      </c>
      <c r="D49">
        <f t="shared" si="5"/>
        <v>18.197839999999999</v>
      </c>
      <c r="E49">
        <f t="shared" si="5"/>
        <v>-4.43</v>
      </c>
      <c r="F49">
        <f t="shared" si="5"/>
        <v>0</v>
      </c>
      <c r="G49">
        <f t="shared" si="5"/>
        <v>-116.31319999999999</v>
      </c>
      <c r="H49">
        <f t="shared" si="5"/>
        <v>-44.852760000000004</v>
      </c>
      <c r="L49">
        <v>48</v>
      </c>
      <c r="M49">
        <v>-49.471350000000001</v>
      </c>
      <c r="N49">
        <v>20.311599999999999</v>
      </c>
      <c r="O49">
        <v>-2.44</v>
      </c>
      <c r="P49">
        <v>1.4999999999999999E-2</v>
      </c>
      <c r="Q49">
        <v>-89.351830000000007</v>
      </c>
      <c r="R49">
        <v>-9.5908770000000008</v>
      </c>
    </row>
    <row r="50" spans="1:18">
      <c r="A50">
        <v>48</v>
      </c>
      <c r="C50">
        <f t="shared" si="5"/>
        <v>-49.471350000000001</v>
      </c>
      <c r="D50">
        <f t="shared" si="5"/>
        <v>20.311599999999999</v>
      </c>
      <c r="E50">
        <f t="shared" si="5"/>
        <v>-2.44</v>
      </c>
      <c r="F50">
        <f t="shared" si="5"/>
        <v>1.4999999999999999E-2</v>
      </c>
      <c r="G50">
        <f t="shared" si="5"/>
        <v>-89.351830000000007</v>
      </c>
      <c r="H50">
        <f t="shared" si="5"/>
        <v>-9.5908770000000008</v>
      </c>
      <c r="L50">
        <v>49</v>
      </c>
      <c r="M50">
        <v>-54.813130000000001</v>
      </c>
      <c r="N50">
        <v>24.862670000000001</v>
      </c>
      <c r="O50">
        <v>-2.2000000000000002</v>
      </c>
      <c r="P50">
        <v>2.8000000000000001E-2</v>
      </c>
      <c r="Q50">
        <v>-103.6293</v>
      </c>
      <c r="R50">
        <v>-5.99695</v>
      </c>
    </row>
    <row r="51" spans="1:18">
      <c r="A51">
        <v>49</v>
      </c>
      <c r="C51">
        <f t="shared" si="5"/>
        <v>-54.813130000000001</v>
      </c>
      <c r="D51">
        <f t="shared" si="5"/>
        <v>24.862670000000001</v>
      </c>
      <c r="E51">
        <f t="shared" si="5"/>
        <v>-2.2000000000000002</v>
      </c>
      <c r="F51">
        <f t="shared" si="5"/>
        <v>2.8000000000000001E-2</v>
      </c>
      <c r="G51">
        <f t="shared" si="5"/>
        <v>-103.6293</v>
      </c>
      <c r="H51">
        <f t="shared" si="5"/>
        <v>-5.99695</v>
      </c>
      <c r="L51">
        <v>50</v>
      </c>
      <c r="M51" t="e">
        <f>NA()</f>
        <v>#N/A</v>
      </c>
      <c r="N51" t="e">
        <f>NA()</f>
        <v>#N/A</v>
      </c>
      <c r="O51" t="e">
        <f>NA()</f>
        <v>#N/A</v>
      </c>
      <c r="P51" t="e">
        <f>NA()</f>
        <v>#N/A</v>
      </c>
      <c r="Q51" t="e">
        <f>NA()</f>
        <v>#N/A</v>
      </c>
      <c r="R51" t="e">
        <f>NA()</f>
        <v>#N/A</v>
      </c>
    </row>
    <row r="52" spans="1:18">
      <c r="A52">
        <v>50</v>
      </c>
      <c r="C52" t="e">
        <f t="shared" si="5"/>
        <v>#N/A</v>
      </c>
      <c r="D52" t="e">
        <f t="shared" si="5"/>
        <v>#N/A</v>
      </c>
      <c r="E52" t="e">
        <f t="shared" si="5"/>
        <v>#N/A</v>
      </c>
      <c r="F52" t="e">
        <f t="shared" si="5"/>
        <v>#N/A</v>
      </c>
      <c r="G52" t="e">
        <f t="shared" si="5"/>
        <v>#N/A</v>
      </c>
      <c r="H52" t="e">
        <f t="shared" si="5"/>
        <v>#N/A</v>
      </c>
      <c r="L52">
        <v>51</v>
      </c>
      <c r="M52">
        <v>-83.264430000000004</v>
      </c>
      <c r="N52">
        <v>18.158090000000001</v>
      </c>
      <c r="O52">
        <v>-4.59</v>
      </c>
      <c r="P52">
        <v>0</v>
      </c>
      <c r="Q52">
        <v>-118.9166</v>
      </c>
      <c r="R52">
        <v>-47.61224</v>
      </c>
    </row>
    <row r="53" spans="1:18">
      <c r="A53">
        <v>51</v>
      </c>
      <c r="C53">
        <f t="shared" ref="C53:H62" si="6">VLOOKUP($A53,CountryFEs,C$1,FALSE)</f>
        <v>-83.264430000000004</v>
      </c>
      <c r="D53">
        <f t="shared" si="6"/>
        <v>18.158090000000001</v>
      </c>
      <c r="E53">
        <f t="shared" si="6"/>
        <v>-4.59</v>
      </c>
      <c r="F53">
        <f t="shared" si="6"/>
        <v>0</v>
      </c>
      <c r="G53">
        <f t="shared" si="6"/>
        <v>-118.9166</v>
      </c>
      <c r="H53">
        <f t="shared" si="6"/>
        <v>-47.61224</v>
      </c>
      <c r="L53">
        <v>52</v>
      </c>
      <c r="M53" t="e">
        <f>NA()</f>
        <v>#N/A</v>
      </c>
      <c r="N53" t="e">
        <f>NA()</f>
        <v>#N/A</v>
      </c>
      <c r="O53" t="e">
        <f>NA()</f>
        <v>#N/A</v>
      </c>
      <c r="P53" t="e">
        <f>NA()</f>
        <v>#N/A</v>
      </c>
      <c r="Q53" t="e">
        <f>NA()</f>
        <v>#N/A</v>
      </c>
      <c r="R53" t="e">
        <f>NA()</f>
        <v>#N/A</v>
      </c>
    </row>
    <row r="54" spans="1:18">
      <c r="A54">
        <v>52</v>
      </c>
      <c r="C54" t="e">
        <f t="shared" si="6"/>
        <v>#N/A</v>
      </c>
      <c r="D54" t="e">
        <f t="shared" si="6"/>
        <v>#N/A</v>
      </c>
      <c r="E54" t="e">
        <f t="shared" si="6"/>
        <v>#N/A</v>
      </c>
      <c r="F54" t="e">
        <f t="shared" si="6"/>
        <v>#N/A</v>
      </c>
      <c r="G54" t="e">
        <f t="shared" si="6"/>
        <v>#N/A</v>
      </c>
      <c r="H54" t="e">
        <f t="shared" si="6"/>
        <v>#N/A</v>
      </c>
      <c r="L54">
        <v>54</v>
      </c>
      <c r="M54">
        <v>-51.223300000000002</v>
      </c>
      <c r="N54">
        <v>20.310490000000001</v>
      </c>
      <c r="O54">
        <v>-2.52</v>
      </c>
      <c r="P54">
        <v>1.2E-2</v>
      </c>
      <c r="Q54">
        <v>-91.101590000000002</v>
      </c>
      <c r="R54">
        <v>-11.34502</v>
      </c>
    </row>
    <row r="55" spans="1:18">
      <c r="A55">
        <v>53</v>
      </c>
      <c r="C55" t="e">
        <f t="shared" si="6"/>
        <v>#N/A</v>
      </c>
      <c r="D55" t="e">
        <f t="shared" si="6"/>
        <v>#N/A</v>
      </c>
      <c r="E55" t="e">
        <f t="shared" si="6"/>
        <v>#N/A</v>
      </c>
      <c r="F55" t="e">
        <f t="shared" si="6"/>
        <v>#N/A</v>
      </c>
      <c r="G55" t="e">
        <f t="shared" si="6"/>
        <v>#N/A</v>
      </c>
      <c r="H55" t="e">
        <f t="shared" si="6"/>
        <v>#N/A</v>
      </c>
      <c r="L55">
        <v>55</v>
      </c>
      <c r="M55">
        <v>-60.597880000000004</v>
      </c>
      <c r="N55">
        <v>18.239149999999999</v>
      </c>
      <c r="O55">
        <v>-3.32</v>
      </c>
      <c r="P55">
        <v>1E-3</v>
      </c>
      <c r="Q55">
        <v>-96.409229999999994</v>
      </c>
      <c r="R55">
        <v>-24.786539999999999</v>
      </c>
    </row>
    <row r="56" spans="1:18">
      <c r="A56">
        <v>54</v>
      </c>
      <c r="C56">
        <f t="shared" si="6"/>
        <v>-51.223300000000002</v>
      </c>
      <c r="D56">
        <f t="shared" si="6"/>
        <v>20.310490000000001</v>
      </c>
      <c r="E56">
        <f t="shared" si="6"/>
        <v>-2.52</v>
      </c>
      <c r="F56">
        <f t="shared" si="6"/>
        <v>1.2E-2</v>
      </c>
      <c r="G56">
        <f t="shared" si="6"/>
        <v>-91.101590000000002</v>
      </c>
      <c r="H56">
        <f t="shared" si="6"/>
        <v>-11.34502</v>
      </c>
      <c r="L56">
        <v>56</v>
      </c>
      <c r="M56">
        <v>-68.087909999999994</v>
      </c>
      <c r="N56">
        <v>18.95617</v>
      </c>
      <c r="O56">
        <v>-3.59</v>
      </c>
      <c r="P56">
        <v>0</v>
      </c>
      <c r="Q56">
        <v>-105.30710000000001</v>
      </c>
      <c r="R56">
        <v>-30.868749999999999</v>
      </c>
    </row>
    <row r="57" spans="1:18">
      <c r="A57">
        <v>55</v>
      </c>
      <c r="C57">
        <f t="shared" si="6"/>
        <v>-60.597880000000004</v>
      </c>
      <c r="D57">
        <f t="shared" si="6"/>
        <v>18.239149999999999</v>
      </c>
      <c r="E57">
        <f t="shared" si="6"/>
        <v>-3.32</v>
      </c>
      <c r="F57">
        <f t="shared" si="6"/>
        <v>1E-3</v>
      </c>
      <c r="G57">
        <f t="shared" si="6"/>
        <v>-96.409229999999994</v>
      </c>
      <c r="H57">
        <f t="shared" si="6"/>
        <v>-24.786539999999999</v>
      </c>
      <c r="L57">
        <v>57</v>
      </c>
      <c r="M57">
        <v>-39.23198</v>
      </c>
      <c r="N57">
        <v>19.27683</v>
      </c>
      <c r="O57">
        <v>-2.04</v>
      </c>
      <c r="P57">
        <v>4.2000000000000003E-2</v>
      </c>
      <c r="Q57">
        <v>-77.080749999999995</v>
      </c>
      <c r="R57">
        <v>-1.383203</v>
      </c>
    </row>
    <row r="58" spans="1:18">
      <c r="A58">
        <v>56</v>
      </c>
      <c r="C58">
        <f t="shared" si="6"/>
        <v>-68.087909999999994</v>
      </c>
      <c r="D58">
        <f t="shared" si="6"/>
        <v>18.95617</v>
      </c>
      <c r="E58">
        <f t="shared" si="6"/>
        <v>-3.59</v>
      </c>
      <c r="F58">
        <f t="shared" si="6"/>
        <v>0</v>
      </c>
      <c r="G58">
        <f t="shared" si="6"/>
        <v>-105.30710000000001</v>
      </c>
      <c r="H58">
        <f t="shared" si="6"/>
        <v>-30.868749999999999</v>
      </c>
      <c r="L58">
        <v>58</v>
      </c>
      <c r="M58" t="e">
        <f>NA()</f>
        <v>#N/A</v>
      </c>
      <c r="N58" t="e">
        <f>NA()</f>
        <v>#N/A</v>
      </c>
      <c r="O58" t="e">
        <f>NA()</f>
        <v>#N/A</v>
      </c>
      <c r="P58" t="e">
        <f>NA()</f>
        <v>#N/A</v>
      </c>
      <c r="Q58" t="e">
        <f>NA()</f>
        <v>#N/A</v>
      </c>
      <c r="R58" t="e">
        <f>NA()</f>
        <v>#N/A</v>
      </c>
    </row>
    <row r="59" spans="1:18">
      <c r="A59">
        <v>57</v>
      </c>
      <c r="C59">
        <f t="shared" si="6"/>
        <v>-39.23198</v>
      </c>
      <c r="D59">
        <f t="shared" si="6"/>
        <v>19.27683</v>
      </c>
      <c r="E59">
        <f t="shared" si="6"/>
        <v>-2.04</v>
      </c>
      <c r="F59">
        <f t="shared" si="6"/>
        <v>4.2000000000000003E-2</v>
      </c>
      <c r="G59">
        <f t="shared" si="6"/>
        <v>-77.080749999999995</v>
      </c>
      <c r="H59">
        <f t="shared" si="6"/>
        <v>-1.383203</v>
      </c>
      <c r="L59">
        <v>59</v>
      </c>
      <c r="M59" t="e">
        <f>NA()</f>
        <v>#N/A</v>
      </c>
      <c r="N59" t="e">
        <f>NA()</f>
        <v>#N/A</v>
      </c>
      <c r="O59" t="e">
        <f>NA()</f>
        <v>#N/A</v>
      </c>
      <c r="P59" t="e">
        <f>NA()</f>
        <v>#N/A</v>
      </c>
      <c r="Q59" t="e">
        <f>NA()</f>
        <v>#N/A</v>
      </c>
      <c r="R59" t="e">
        <f>NA()</f>
        <v>#N/A</v>
      </c>
    </row>
    <row r="60" spans="1:18">
      <c r="A60">
        <v>58</v>
      </c>
      <c r="C60" t="e">
        <f t="shared" si="6"/>
        <v>#N/A</v>
      </c>
      <c r="D60" t="e">
        <f t="shared" si="6"/>
        <v>#N/A</v>
      </c>
      <c r="E60" t="e">
        <f t="shared" si="6"/>
        <v>#N/A</v>
      </c>
      <c r="F60" t="e">
        <f t="shared" si="6"/>
        <v>#N/A</v>
      </c>
      <c r="G60" t="e">
        <f t="shared" si="6"/>
        <v>#N/A</v>
      </c>
      <c r="H60" t="e">
        <f t="shared" si="6"/>
        <v>#N/A</v>
      </c>
      <c r="L60">
        <v>60</v>
      </c>
      <c r="M60">
        <v>-36.65258</v>
      </c>
      <c r="N60">
        <v>24.85717</v>
      </c>
      <c r="O60">
        <v>-1.47</v>
      </c>
      <c r="P60">
        <v>0.14099999999999999</v>
      </c>
      <c r="Q60">
        <v>-85.45796</v>
      </c>
      <c r="R60">
        <v>12.152810000000001</v>
      </c>
    </row>
    <row r="61" spans="1:18">
      <c r="A61">
        <v>59</v>
      </c>
      <c r="C61" t="e">
        <f t="shared" si="6"/>
        <v>#N/A</v>
      </c>
      <c r="D61" t="e">
        <f t="shared" si="6"/>
        <v>#N/A</v>
      </c>
      <c r="E61" t="e">
        <f t="shared" si="6"/>
        <v>#N/A</v>
      </c>
      <c r="F61" t="e">
        <f t="shared" si="6"/>
        <v>#N/A</v>
      </c>
      <c r="G61" t="e">
        <f t="shared" si="6"/>
        <v>#N/A</v>
      </c>
      <c r="H61" t="e">
        <f t="shared" si="6"/>
        <v>#N/A</v>
      </c>
      <c r="L61">
        <v>61</v>
      </c>
      <c r="M61">
        <v>-38.507680000000001</v>
      </c>
      <c r="N61">
        <v>24.85717</v>
      </c>
      <c r="O61">
        <v>-1.55</v>
      </c>
      <c r="P61">
        <v>0.122</v>
      </c>
      <c r="Q61">
        <v>-87.313059999999993</v>
      </c>
      <c r="R61">
        <v>10.297700000000001</v>
      </c>
    </row>
    <row r="62" spans="1:18">
      <c r="A62">
        <v>60</v>
      </c>
      <c r="C62">
        <f t="shared" si="6"/>
        <v>-36.65258</v>
      </c>
      <c r="D62">
        <f t="shared" si="6"/>
        <v>24.85717</v>
      </c>
      <c r="E62">
        <f t="shared" si="6"/>
        <v>-1.47</v>
      </c>
      <c r="F62">
        <f t="shared" si="6"/>
        <v>0.14099999999999999</v>
      </c>
      <c r="G62">
        <f t="shared" si="6"/>
        <v>-85.45796</v>
      </c>
      <c r="H62">
        <f t="shared" si="6"/>
        <v>12.152810000000001</v>
      </c>
      <c r="L62">
        <v>62</v>
      </c>
      <c r="M62">
        <v>-43.192909999999998</v>
      </c>
      <c r="N62">
        <v>18.768229999999999</v>
      </c>
      <c r="O62">
        <v>-2.2999999999999998</v>
      </c>
      <c r="P62">
        <v>2.1999999999999999E-2</v>
      </c>
      <c r="Q62">
        <v>-80.043080000000003</v>
      </c>
      <c r="R62">
        <v>-6.3427319999999998</v>
      </c>
    </row>
    <row r="63" spans="1:18">
      <c r="A63">
        <v>61</v>
      </c>
      <c r="C63">
        <f t="shared" ref="C63:H72" si="7">VLOOKUP($A63,CountryFEs,C$1,FALSE)</f>
        <v>-38.507680000000001</v>
      </c>
      <c r="D63">
        <f t="shared" si="7"/>
        <v>24.85717</v>
      </c>
      <c r="E63">
        <f t="shared" si="7"/>
        <v>-1.55</v>
      </c>
      <c r="F63">
        <f t="shared" si="7"/>
        <v>0.122</v>
      </c>
      <c r="G63">
        <f t="shared" si="7"/>
        <v>-87.313059999999993</v>
      </c>
      <c r="H63">
        <f t="shared" si="7"/>
        <v>10.297700000000001</v>
      </c>
      <c r="L63">
        <v>63</v>
      </c>
      <c r="M63">
        <v>-67.697649999999996</v>
      </c>
      <c r="N63">
        <v>18.384499999999999</v>
      </c>
      <c r="O63">
        <v>-3.68</v>
      </c>
      <c r="P63">
        <v>0</v>
      </c>
      <c r="Q63">
        <v>-103.7944</v>
      </c>
      <c r="R63">
        <v>-31.600909999999999</v>
      </c>
    </row>
    <row r="64" spans="1:18">
      <c r="A64">
        <v>62</v>
      </c>
      <c r="C64">
        <f t="shared" si="7"/>
        <v>-43.192909999999998</v>
      </c>
      <c r="D64">
        <f t="shared" si="7"/>
        <v>18.768229999999999</v>
      </c>
      <c r="E64">
        <f t="shared" si="7"/>
        <v>-2.2999999999999998</v>
      </c>
      <c r="F64">
        <f t="shared" si="7"/>
        <v>2.1999999999999999E-2</v>
      </c>
      <c r="G64">
        <f t="shared" si="7"/>
        <v>-80.043080000000003</v>
      </c>
      <c r="H64">
        <f t="shared" si="7"/>
        <v>-6.3427319999999998</v>
      </c>
      <c r="L64">
        <v>64</v>
      </c>
      <c r="M64" t="e">
        <f>NA()</f>
        <v>#N/A</v>
      </c>
      <c r="N64" t="e">
        <f>NA()</f>
        <v>#N/A</v>
      </c>
      <c r="O64" t="e">
        <f>NA()</f>
        <v>#N/A</v>
      </c>
      <c r="P64" t="e">
        <f>NA()</f>
        <v>#N/A</v>
      </c>
      <c r="Q64" t="e">
        <f>NA()</f>
        <v>#N/A</v>
      </c>
      <c r="R64" t="e">
        <f>NA()</f>
        <v>#N/A</v>
      </c>
    </row>
    <row r="65" spans="1:18">
      <c r="A65">
        <v>63</v>
      </c>
      <c r="C65">
        <f t="shared" si="7"/>
        <v>-67.697649999999996</v>
      </c>
      <c r="D65">
        <f t="shared" si="7"/>
        <v>18.384499999999999</v>
      </c>
      <c r="E65">
        <f t="shared" si="7"/>
        <v>-3.68</v>
      </c>
      <c r="F65">
        <f t="shared" si="7"/>
        <v>0</v>
      </c>
      <c r="G65">
        <f t="shared" si="7"/>
        <v>-103.7944</v>
      </c>
      <c r="H65">
        <f t="shared" si="7"/>
        <v>-31.600909999999999</v>
      </c>
      <c r="L65">
        <v>65</v>
      </c>
      <c r="M65">
        <v>-69.093190000000007</v>
      </c>
      <c r="N65">
        <v>18.457460000000001</v>
      </c>
      <c r="O65">
        <v>-3.74</v>
      </c>
      <c r="P65">
        <v>0</v>
      </c>
      <c r="Q65">
        <v>-105.33320000000001</v>
      </c>
      <c r="R65">
        <v>-32.853200000000001</v>
      </c>
    </row>
    <row r="66" spans="1:18">
      <c r="A66">
        <v>64</v>
      </c>
      <c r="C66" t="e">
        <f t="shared" si="7"/>
        <v>#N/A</v>
      </c>
      <c r="D66" t="e">
        <f t="shared" si="7"/>
        <v>#N/A</v>
      </c>
      <c r="E66" t="e">
        <f t="shared" si="7"/>
        <v>#N/A</v>
      </c>
      <c r="F66" t="e">
        <f t="shared" si="7"/>
        <v>#N/A</v>
      </c>
      <c r="G66" t="e">
        <f t="shared" si="7"/>
        <v>#N/A</v>
      </c>
      <c r="H66" t="e">
        <f t="shared" si="7"/>
        <v>#N/A</v>
      </c>
      <c r="L66">
        <v>66</v>
      </c>
      <c r="M66">
        <v>-55.274940000000001</v>
      </c>
      <c r="N66">
        <v>18.517520000000001</v>
      </c>
      <c r="O66">
        <v>-2.99</v>
      </c>
      <c r="P66">
        <v>3.0000000000000001E-3</v>
      </c>
      <c r="Q66">
        <v>-91.632850000000005</v>
      </c>
      <c r="R66">
        <v>-18.91703</v>
      </c>
    </row>
    <row r="67" spans="1:18">
      <c r="A67">
        <v>65</v>
      </c>
      <c r="C67">
        <f t="shared" si="7"/>
        <v>-69.093190000000007</v>
      </c>
      <c r="D67">
        <f t="shared" si="7"/>
        <v>18.457460000000001</v>
      </c>
      <c r="E67">
        <f t="shared" si="7"/>
        <v>-3.74</v>
      </c>
      <c r="F67">
        <f t="shared" si="7"/>
        <v>0</v>
      </c>
      <c r="G67">
        <f t="shared" si="7"/>
        <v>-105.33320000000001</v>
      </c>
      <c r="H67">
        <f t="shared" si="7"/>
        <v>-32.853200000000001</v>
      </c>
      <c r="L67">
        <v>67</v>
      </c>
      <c r="M67">
        <v>-28.36112</v>
      </c>
      <c r="N67">
        <v>18.629190000000001</v>
      </c>
      <c r="O67">
        <v>-1.52</v>
      </c>
      <c r="P67">
        <v>0.128</v>
      </c>
      <c r="Q67">
        <v>-64.938299999999998</v>
      </c>
      <c r="R67">
        <v>8.2160589999999996</v>
      </c>
    </row>
    <row r="68" spans="1:18">
      <c r="A68">
        <v>66</v>
      </c>
      <c r="C68">
        <f t="shared" si="7"/>
        <v>-55.274940000000001</v>
      </c>
      <c r="D68">
        <f t="shared" si="7"/>
        <v>18.517520000000001</v>
      </c>
      <c r="E68">
        <f t="shared" si="7"/>
        <v>-2.99</v>
      </c>
      <c r="F68">
        <f t="shared" si="7"/>
        <v>3.0000000000000001E-3</v>
      </c>
      <c r="G68">
        <f t="shared" si="7"/>
        <v>-91.632850000000005</v>
      </c>
      <c r="H68">
        <f t="shared" si="7"/>
        <v>-18.91703</v>
      </c>
      <c r="L68">
        <v>68</v>
      </c>
      <c r="M68">
        <v>-23.832989999999999</v>
      </c>
      <c r="N68">
        <v>19.224550000000001</v>
      </c>
      <c r="O68">
        <v>-1.24</v>
      </c>
      <c r="P68">
        <v>0.216</v>
      </c>
      <c r="Q68">
        <v>-61.57911</v>
      </c>
      <c r="R68">
        <v>13.91314</v>
      </c>
    </row>
    <row r="69" spans="1:18">
      <c r="A69">
        <v>67</v>
      </c>
      <c r="C69">
        <f t="shared" si="7"/>
        <v>-28.36112</v>
      </c>
      <c r="D69">
        <f t="shared" si="7"/>
        <v>18.629190000000001</v>
      </c>
      <c r="E69">
        <f t="shared" si="7"/>
        <v>-1.52</v>
      </c>
      <c r="F69">
        <f t="shared" si="7"/>
        <v>0.128</v>
      </c>
      <c r="G69">
        <f t="shared" si="7"/>
        <v>-64.938299999999998</v>
      </c>
      <c r="H69">
        <f t="shared" si="7"/>
        <v>8.2160589999999996</v>
      </c>
      <c r="L69">
        <v>69</v>
      </c>
      <c r="M69">
        <v>-55.784239999999997</v>
      </c>
      <c r="N69">
        <v>18.291239999999998</v>
      </c>
      <c r="O69">
        <v>-3.05</v>
      </c>
      <c r="P69">
        <v>2E-3</v>
      </c>
      <c r="Q69">
        <v>-91.697860000000006</v>
      </c>
      <c r="R69">
        <v>-19.870609999999999</v>
      </c>
    </row>
    <row r="70" spans="1:18">
      <c r="A70">
        <v>68</v>
      </c>
      <c r="C70">
        <f t="shared" si="7"/>
        <v>-23.832989999999999</v>
      </c>
      <c r="D70">
        <f t="shared" si="7"/>
        <v>19.224550000000001</v>
      </c>
      <c r="E70">
        <f t="shared" si="7"/>
        <v>-1.24</v>
      </c>
      <c r="F70">
        <f t="shared" si="7"/>
        <v>0.216</v>
      </c>
      <c r="G70">
        <f t="shared" si="7"/>
        <v>-61.57911</v>
      </c>
      <c r="H70">
        <f t="shared" si="7"/>
        <v>13.91314</v>
      </c>
      <c r="L70">
        <v>70</v>
      </c>
      <c r="M70">
        <v>-39.349209999999999</v>
      </c>
      <c r="N70">
        <v>18.291720000000002</v>
      </c>
      <c r="O70">
        <v>-2.15</v>
      </c>
      <c r="P70">
        <v>3.2000000000000001E-2</v>
      </c>
      <c r="Q70">
        <v>-75.263779999999997</v>
      </c>
      <c r="R70">
        <v>-3.434653</v>
      </c>
    </row>
    <row r="71" spans="1:18">
      <c r="A71">
        <v>69</v>
      </c>
      <c r="C71">
        <f t="shared" si="7"/>
        <v>-55.784239999999997</v>
      </c>
      <c r="D71">
        <f t="shared" si="7"/>
        <v>18.291239999999998</v>
      </c>
      <c r="E71">
        <f t="shared" si="7"/>
        <v>-3.05</v>
      </c>
      <c r="F71">
        <f t="shared" si="7"/>
        <v>2E-3</v>
      </c>
      <c r="G71">
        <f t="shared" si="7"/>
        <v>-91.697860000000006</v>
      </c>
      <c r="H71">
        <f t="shared" si="7"/>
        <v>-19.870609999999999</v>
      </c>
      <c r="L71">
        <v>71</v>
      </c>
      <c r="M71">
        <v>-75.574929999999995</v>
      </c>
      <c r="N71">
        <v>18.158090000000001</v>
      </c>
      <c r="O71">
        <v>-4.16</v>
      </c>
      <c r="P71">
        <v>0</v>
      </c>
      <c r="Q71">
        <v>-111.22709999999999</v>
      </c>
      <c r="R71">
        <v>-39.922739999999997</v>
      </c>
    </row>
    <row r="72" spans="1:18">
      <c r="A72">
        <v>70</v>
      </c>
      <c r="C72">
        <f t="shared" si="7"/>
        <v>-39.349209999999999</v>
      </c>
      <c r="D72">
        <f t="shared" si="7"/>
        <v>18.291720000000002</v>
      </c>
      <c r="E72">
        <f t="shared" si="7"/>
        <v>-2.15</v>
      </c>
      <c r="F72">
        <f t="shared" si="7"/>
        <v>3.2000000000000001E-2</v>
      </c>
      <c r="G72">
        <f t="shared" si="7"/>
        <v>-75.263779999999997</v>
      </c>
      <c r="H72">
        <f t="shared" si="7"/>
        <v>-3.434653</v>
      </c>
      <c r="L72" s="20">
        <v>72</v>
      </c>
      <c r="M72" t="e">
        <f>NA()</f>
        <v>#N/A</v>
      </c>
      <c r="N72" t="e">
        <f>NA()</f>
        <v>#N/A</v>
      </c>
      <c r="O72" t="e">
        <f>NA()</f>
        <v>#N/A</v>
      </c>
      <c r="P72" t="e">
        <f>NA()</f>
        <v>#N/A</v>
      </c>
      <c r="Q72" t="e">
        <f>NA()</f>
        <v>#N/A</v>
      </c>
      <c r="R72" t="e">
        <f>NA()</f>
        <v>#N/A</v>
      </c>
    </row>
    <row r="73" spans="1:18">
      <c r="A73">
        <v>71</v>
      </c>
      <c r="C73">
        <f t="shared" ref="C73:H82" si="8">VLOOKUP($A73,CountryFEs,C$1,FALSE)</f>
        <v>-75.574929999999995</v>
      </c>
      <c r="D73">
        <f t="shared" si="8"/>
        <v>18.158090000000001</v>
      </c>
      <c r="E73">
        <f t="shared" si="8"/>
        <v>-4.16</v>
      </c>
      <c r="F73">
        <f t="shared" si="8"/>
        <v>0</v>
      </c>
      <c r="G73">
        <f t="shared" si="8"/>
        <v>-111.22709999999999</v>
      </c>
      <c r="H73">
        <f t="shared" si="8"/>
        <v>-39.922739999999997</v>
      </c>
      <c r="L73">
        <v>73</v>
      </c>
      <c r="M73">
        <v>-70.822339999999997</v>
      </c>
      <c r="N73">
        <v>18.194479999999999</v>
      </c>
      <c r="O73">
        <v>-3.89</v>
      </c>
      <c r="P73">
        <v>0</v>
      </c>
      <c r="Q73">
        <v>-106.54600000000001</v>
      </c>
      <c r="R73">
        <v>-35.098700000000001</v>
      </c>
    </row>
    <row r="74" spans="1:18">
      <c r="A74">
        <v>72</v>
      </c>
      <c r="C74" t="e">
        <f t="shared" si="8"/>
        <v>#N/A</v>
      </c>
      <c r="D74" t="e">
        <f t="shared" si="8"/>
        <v>#N/A</v>
      </c>
      <c r="E74" t="e">
        <f t="shared" si="8"/>
        <v>#N/A</v>
      </c>
      <c r="F74" t="e">
        <f t="shared" si="8"/>
        <v>#N/A</v>
      </c>
      <c r="G74" t="e">
        <f t="shared" si="8"/>
        <v>#N/A</v>
      </c>
      <c r="H74" t="e">
        <f t="shared" si="8"/>
        <v>#N/A</v>
      </c>
      <c r="L74">
        <v>74</v>
      </c>
      <c r="M74">
        <v>-44.483069999999998</v>
      </c>
      <c r="N74">
        <v>19.006139999999998</v>
      </c>
      <c r="O74">
        <v>-2.34</v>
      </c>
      <c r="P74">
        <v>0.02</v>
      </c>
      <c r="Q74">
        <v>-81.800359999999998</v>
      </c>
      <c r="R74">
        <v>-7.1657840000000004</v>
      </c>
    </row>
    <row r="75" spans="1:18">
      <c r="A75">
        <v>73</v>
      </c>
      <c r="C75">
        <f t="shared" si="8"/>
        <v>-70.822339999999997</v>
      </c>
      <c r="D75">
        <f t="shared" si="8"/>
        <v>18.194479999999999</v>
      </c>
      <c r="E75">
        <f t="shared" si="8"/>
        <v>-3.89</v>
      </c>
      <c r="F75">
        <f t="shared" si="8"/>
        <v>0</v>
      </c>
      <c r="G75">
        <f t="shared" si="8"/>
        <v>-106.54600000000001</v>
      </c>
      <c r="H75">
        <f t="shared" si="8"/>
        <v>-35.098700000000001</v>
      </c>
      <c r="L75">
        <v>75</v>
      </c>
      <c r="M75" t="e">
        <f>NA()</f>
        <v>#N/A</v>
      </c>
      <c r="N75" t="e">
        <f>NA()</f>
        <v>#N/A</v>
      </c>
      <c r="O75" t="e">
        <f>NA()</f>
        <v>#N/A</v>
      </c>
      <c r="P75" t="e">
        <f>NA()</f>
        <v>#N/A</v>
      </c>
      <c r="Q75" t="e">
        <f>NA()</f>
        <v>#N/A</v>
      </c>
      <c r="R75" t="e">
        <f>NA()</f>
        <v>#N/A</v>
      </c>
    </row>
    <row r="76" spans="1:18">
      <c r="A76">
        <v>74</v>
      </c>
      <c r="C76">
        <f t="shared" si="8"/>
        <v>-44.483069999999998</v>
      </c>
      <c r="D76">
        <f t="shared" si="8"/>
        <v>19.006139999999998</v>
      </c>
      <c r="E76">
        <f t="shared" si="8"/>
        <v>-2.34</v>
      </c>
      <c r="F76">
        <f t="shared" si="8"/>
        <v>0.02</v>
      </c>
      <c r="G76">
        <f t="shared" si="8"/>
        <v>-81.800359999999998</v>
      </c>
      <c r="H76">
        <f t="shared" si="8"/>
        <v>-7.1657840000000004</v>
      </c>
      <c r="L76">
        <v>76</v>
      </c>
      <c r="M76">
        <v>-55.58643</v>
      </c>
      <c r="N76">
        <v>21.544740000000001</v>
      </c>
      <c r="O76">
        <v>-2.58</v>
      </c>
      <c r="P76">
        <v>0.01</v>
      </c>
      <c r="Q76">
        <v>-97.888080000000002</v>
      </c>
      <c r="R76">
        <v>-13.28478</v>
      </c>
    </row>
    <row r="77" spans="1:18">
      <c r="A77">
        <v>75</v>
      </c>
      <c r="C77" t="e">
        <f t="shared" si="8"/>
        <v>#N/A</v>
      </c>
      <c r="D77" t="e">
        <f t="shared" si="8"/>
        <v>#N/A</v>
      </c>
      <c r="E77" t="e">
        <f t="shared" si="8"/>
        <v>#N/A</v>
      </c>
      <c r="F77" t="e">
        <f t="shared" si="8"/>
        <v>#N/A</v>
      </c>
      <c r="G77" t="e">
        <f t="shared" si="8"/>
        <v>#N/A</v>
      </c>
      <c r="H77" t="e">
        <f t="shared" si="8"/>
        <v>#N/A</v>
      </c>
      <c r="L77">
        <v>77</v>
      </c>
      <c r="M77" t="e">
        <f>NA()</f>
        <v>#N/A</v>
      </c>
      <c r="N77" t="e">
        <f>NA()</f>
        <v>#N/A</v>
      </c>
      <c r="O77" t="e">
        <f>NA()</f>
        <v>#N/A</v>
      </c>
      <c r="P77" t="e">
        <f>NA()</f>
        <v>#N/A</v>
      </c>
      <c r="Q77" t="e">
        <f>NA()</f>
        <v>#N/A</v>
      </c>
      <c r="R77" t="e">
        <f>NA()</f>
        <v>#N/A</v>
      </c>
    </row>
    <row r="78" spans="1:18">
      <c r="A78">
        <v>76</v>
      </c>
      <c r="C78">
        <f t="shared" si="8"/>
        <v>-55.58643</v>
      </c>
      <c r="D78">
        <f t="shared" si="8"/>
        <v>21.544740000000001</v>
      </c>
      <c r="E78">
        <f t="shared" si="8"/>
        <v>-2.58</v>
      </c>
      <c r="F78">
        <f t="shared" si="8"/>
        <v>0.01</v>
      </c>
      <c r="G78">
        <f t="shared" si="8"/>
        <v>-97.888080000000002</v>
      </c>
      <c r="H78">
        <f t="shared" si="8"/>
        <v>-13.28478</v>
      </c>
      <c r="L78">
        <v>78</v>
      </c>
      <c r="M78">
        <v>-32.757260000000002</v>
      </c>
      <c r="N78">
        <v>20.326789999999999</v>
      </c>
      <c r="O78">
        <v>-1.61</v>
      </c>
      <c r="P78">
        <v>0.108</v>
      </c>
      <c r="Q78">
        <v>-72.667559999999995</v>
      </c>
      <c r="R78">
        <v>7.153041</v>
      </c>
    </row>
    <row r="79" spans="1:18">
      <c r="A79">
        <v>77</v>
      </c>
      <c r="C79" t="e">
        <f t="shared" si="8"/>
        <v>#N/A</v>
      </c>
      <c r="D79" t="e">
        <f t="shared" si="8"/>
        <v>#N/A</v>
      </c>
      <c r="E79" t="e">
        <f t="shared" si="8"/>
        <v>#N/A</v>
      </c>
      <c r="F79" t="e">
        <f t="shared" si="8"/>
        <v>#N/A</v>
      </c>
      <c r="G79" t="e">
        <f t="shared" si="8"/>
        <v>#N/A</v>
      </c>
      <c r="H79" t="e">
        <f t="shared" si="8"/>
        <v>#N/A</v>
      </c>
      <c r="L79">
        <v>79</v>
      </c>
      <c r="M79">
        <v>-35.400039999999997</v>
      </c>
      <c r="N79">
        <v>18.194479999999999</v>
      </c>
      <c r="O79">
        <v>-1.95</v>
      </c>
      <c r="P79">
        <v>5.1999999999999998E-2</v>
      </c>
      <c r="Q79">
        <v>-71.123679999999993</v>
      </c>
      <c r="R79">
        <v>0.32359719999999997</v>
      </c>
    </row>
    <row r="80" spans="1:18">
      <c r="A80">
        <v>78</v>
      </c>
      <c r="C80">
        <f t="shared" si="8"/>
        <v>-32.757260000000002</v>
      </c>
      <c r="D80">
        <f t="shared" si="8"/>
        <v>20.326789999999999</v>
      </c>
      <c r="E80">
        <f t="shared" si="8"/>
        <v>-1.61</v>
      </c>
      <c r="F80">
        <f t="shared" si="8"/>
        <v>0.108</v>
      </c>
      <c r="G80">
        <f t="shared" si="8"/>
        <v>-72.667559999999995</v>
      </c>
      <c r="H80">
        <f t="shared" si="8"/>
        <v>7.153041</v>
      </c>
      <c r="L80">
        <v>80</v>
      </c>
      <c r="M80">
        <v>-50.222900000000003</v>
      </c>
      <c r="N80">
        <v>20.310490000000001</v>
      </c>
      <c r="O80">
        <v>-2.4700000000000002</v>
      </c>
      <c r="P80">
        <v>1.4E-2</v>
      </c>
      <c r="Q80">
        <v>-90.101190000000003</v>
      </c>
      <c r="R80">
        <v>-10.344609999999999</v>
      </c>
    </row>
    <row r="81" spans="1:18">
      <c r="A81">
        <v>79</v>
      </c>
      <c r="C81">
        <f t="shared" si="8"/>
        <v>-35.400039999999997</v>
      </c>
      <c r="D81">
        <f t="shared" si="8"/>
        <v>18.194479999999999</v>
      </c>
      <c r="E81">
        <f t="shared" si="8"/>
        <v>-1.95</v>
      </c>
      <c r="F81">
        <f t="shared" si="8"/>
        <v>5.1999999999999998E-2</v>
      </c>
      <c r="G81">
        <f t="shared" si="8"/>
        <v>-71.123679999999993</v>
      </c>
      <c r="H81">
        <f t="shared" si="8"/>
        <v>0.32359719999999997</v>
      </c>
      <c r="L81">
        <v>81</v>
      </c>
      <c r="M81" t="e">
        <f>NA()</f>
        <v>#N/A</v>
      </c>
      <c r="N81" t="e">
        <f>NA()</f>
        <v>#N/A</v>
      </c>
      <c r="O81" t="e">
        <f>NA()</f>
        <v>#N/A</v>
      </c>
      <c r="P81" t="e">
        <f>NA()</f>
        <v>#N/A</v>
      </c>
      <c r="Q81" t="e">
        <f>NA()</f>
        <v>#N/A</v>
      </c>
      <c r="R81" t="e">
        <f>NA()</f>
        <v>#N/A</v>
      </c>
    </row>
    <row r="82" spans="1:18">
      <c r="A82">
        <v>80</v>
      </c>
      <c r="C82">
        <f t="shared" si="8"/>
        <v>-50.222900000000003</v>
      </c>
      <c r="D82">
        <f t="shared" si="8"/>
        <v>20.310490000000001</v>
      </c>
      <c r="E82">
        <f t="shared" si="8"/>
        <v>-2.4700000000000002</v>
      </c>
      <c r="F82">
        <f t="shared" si="8"/>
        <v>1.4E-2</v>
      </c>
      <c r="G82">
        <f t="shared" si="8"/>
        <v>-90.101190000000003</v>
      </c>
      <c r="H82">
        <f t="shared" si="8"/>
        <v>-10.344609999999999</v>
      </c>
      <c r="L82">
        <v>82</v>
      </c>
      <c r="M82">
        <v>-42.282150000000001</v>
      </c>
      <c r="N82">
        <v>20.307950000000002</v>
      </c>
      <c r="O82">
        <v>-2.08</v>
      </c>
      <c r="P82">
        <v>3.7999999999999999E-2</v>
      </c>
      <c r="Q82">
        <v>-82.155439999999999</v>
      </c>
      <c r="R82">
        <v>-2.4088479999999999</v>
      </c>
    </row>
    <row r="83" spans="1:18">
      <c r="A83">
        <v>81</v>
      </c>
      <c r="C83" t="e">
        <f t="shared" ref="C83:H92" si="9">VLOOKUP($A83,CountryFEs,C$1,FALSE)</f>
        <v>#N/A</v>
      </c>
      <c r="D83" t="e">
        <f t="shared" si="9"/>
        <v>#N/A</v>
      </c>
      <c r="E83" t="e">
        <f t="shared" si="9"/>
        <v>#N/A</v>
      </c>
      <c r="F83" t="e">
        <f t="shared" si="9"/>
        <v>#N/A</v>
      </c>
      <c r="G83" t="e">
        <f t="shared" si="9"/>
        <v>#N/A</v>
      </c>
      <c r="H83" t="e">
        <f t="shared" si="9"/>
        <v>#N/A</v>
      </c>
      <c r="L83">
        <v>83</v>
      </c>
      <c r="M83">
        <v>-52.884300000000003</v>
      </c>
      <c r="N83">
        <v>24.862670000000001</v>
      </c>
      <c r="O83">
        <v>-2.13</v>
      </c>
      <c r="P83">
        <v>3.4000000000000002E-2</v>
      </c>
      <c r="Q83">
        <v>-101.70050000000001</v>
      </c>
      <c r="R83">
        <v>-4.068117</v>
      </c>
    </row>
    <row r="84" spans="1:18">
      <c r="A84">
        <v>82</v>
      </c>
      <c r="C84">
        <f t="shared" si="9"/>
        <v>-42.282150000000001</v>
      </c>
      <c r="D84">
        <f t="shared" si="9"/>
        <v>20.307950000000002</v>
      </c>
      <c r="E84">
        <f t="shared" si="9"/>
        <v>-2.08</v>
      </c>
      <c r="F84">
        <f t="shared" si="9"/>
        <v>3.7999999999999999E-2</v>
      </c>
      <c r="G84">
        <f t="shared" si="9"/>
        <v>-82.155439999999999</v>
      </c>
      <c r="H84">
        <f t="shared" si="9"/>
        <v>-2.4088479999999999</v>
      </c>
      <c r="L84">
        <v>84</v>
      </c>
      <c r="M84">
        <v>-30.55761</v>
      </c>
      <c r="N84">
        <v>20.31747</v>
      </c>
      <c r="O84">
        <v>-1.5</v>
      </c>
      <c r="P84">
        <v>0.13300000000000001</v>
      </c>
      <c r="Q84">
        <v>-70.449600000000004</v>
      </c>
      <c r="R84">
        <v>9.3343740000000004</v>
      </c>
    </row>
    <row r="85" spans="1:18">
      <c r="A85">
        <v>83</v>
      </c>
      <c r="C85">
        <f t="shared" si="9"/>
        <v>-52.884300000000003</v>
      </c>
      <c r="D85">
        <f t="shared" si="9"/>
        <v>24.862670000000001</v>
      </c>
      <c r="E85">
        <f t="shared" si="9"/>
        <v>-2.13</v>
      </c>
      <c r="F85">
        <f t="shared" si="9"/>
        <v>3.4000000000000002E-2</v>
      </c>
      <c r="G85">
        <f t="shared" si="9"/>
        <v>-101.70050000000001</v>
      </c>
      <c r="H85">
        <f t="shared" si="9"/>
        <v>-4.068117</v>
      </c>
      <c r="L85">
        <v>85</v>
      </c>
      <c r="M85">
        <v>-18.39902</v>
      </c>
      <c r="N85">
        <v>20.230049999999999</v>
      </c>
      <c r="O85">
        <v>-0.91</v>
      </c>
      <c r="P85">
        <v>0.36299999999999999</v>
      </c>
      <c r="Q85">
        <v>-58.119370000000004</v>
      </c>
      <c r="R85">
        <v>21.32133</v>
      </c>
    </row>
    <row r="86" spans="1:18">
      <c r="A86">
        <v>84</v>
      </c>
      <c r="C86">
        <f t="shared" si="9"/>
        <v>-30.55761</v>
      </c>
      <c r="D86">
        <f t="shared" si="9"/>
        <v>20.31747</v>
      </c>
      <c r="E86">
        <f t="shared" si="9"/>
        <v>-1.5</v>
      </c>
      <c r="F86">
        <f t="shared" si="9"/>
        <v>0.13300000000000001</v>
      </c>
      <c r="G86">
        <f t="shared" si="9"/>
        <v>-70.449600000000004</v>
      </c>
      <c r="H86">
        <f t="shared" si="9"/>
        <v>9.3343740000000004</v>
      </c>
      <c r="L86">
        <v>86</v>
      </c>
      <c r="M86">
        <v>-25.78096</v>
      </c>
      <c r="N86">
        <v>21.5502</v>
      </c>
      <c r="O86">
        <v>-1.2</v>
      </c>
      <c r="P86">
        <v>0.23200000000000001</v>
      </c>
      <c r="Q86">
        <v>-68.093329999999995</v>
      </c>
      <c r="R86">
        <v>16.531410000000001</v>
      </c>
    </row>
    <row r="87" spans="1:18">
      <c r="A87">
        <v>85</v>
      </c>
      <c r="C87">
        <f t="shared" si="9"/>
        <v>-18.39902</v>
      </c>
      <c r="D87">
        <f t="shared" si="9"/>
        <v>20.230049999999999</v>
      </c>
      <c r="E87">
        <f t="shared" si="9"/>
        <v>-0.91</v>
      </c>
      <c r="F87">
        <f t="shared" si="9"/>
        <v>0.36299999999999999</v>
      </c>
      <c r="G87">
        <f t="shared" si="9"/>
        <v>-58.119370000000004</v>
      </c>
      <c r="H87">
        <f t="shared" si="9"/>
        <v>21.32133</v>
      </c>
      <c r="L87">
        <v>87</v>
      </c>
      <c r="M87">
        <v>-23.150469999999999</v>
      </c>
      <c r="N87">
        <v>19.670359999999999</v>
      </c>
      <c r="O87">
        <v>-1.18</v>
      </c>
      <c r="P87">
        <v>0.24</v>
      </c>
      <c r="Q87">
        <v>-61.771909999999998</v>
      </c>
      <c r="R87">
        <v>15.470980000000001</v>
      </c>
    </row>
    <row r="88" spans="1:18">
      <c r="A88">
        <v>86</v>
      </c>
      <c r="C88">
        <f t="shared" si="9"/>
        <v>-25.78096</v>
      </c>
      <c r="D88">
        <f t="shared" si="9"/>
        <v>21.5502</v>
      </c>
      <c r="E88">
        <f t="shared" si="9"/>
        <v>-1.2</v>
      </c>
      <c r="F88">
        <f t="shared" si="9"/>
        <v>0.23200000000000001</v>
      </c>
      <c r="G88">
        <f t="shared" si="9"/>
        <v>-68.093329999999995</v>
      </c>
      <c r="H88">
        <f t="shared" si="9"/>
        <v>16.531410000000001</v>
      </c>
      <c r="L88">
        <v>88</v>
      </c>
      <c r="M88">
        <v>-52.705100000000002</v>
      </c>
      <c r="N88">
        <v>24.862670000000001</v>
      </c>
      <c r="O88">
        <v>-2.12</v>
      </c>
      <c r="P88">
        <v>3.4000000000000002E-2</v>
      </c>
      <c r="Q88">
        <v>-101.5213</v>
      </c>
      <c r="R88">
        <v>-3.8889179999999999</v>
      </c>
    </row>
    <row r="89" spans="1:18">
      <c r="A89">
        <v>87</v>
      </c>
      <c r="C89">
        <f t="shared" si="9"/>
        <v>-23.150469999999999</v>
      </c>
      <c r="D89">
        <f t="shared" si="9"/>
        <v>19.670359999999999</v>
      </c>
      <c r="E89">
        <f t="shared" si="9"/>
        <v>-1.18</v>
      </c>
      <c r="F89">
        <f t="shared" si="9"/>
        <v>0.24</v>
      </c>
      <c r="G89">
        <f t="shared" si="9"/>
        <v>-61.771909999999998</v>
      </c>
      <c r="H89">
        <f t="shared" si="9"/>
        <v>15.470980000000001</v>
      </c>
      <c r="L89">
        <v>89</v>
      </c>
      <c r="M89" t="e">
        <f>NA()</f>
        <v>#N/A</v>
      </c>
      <c r="N89" t="e">
        <f>NA()</f>
        <v>#N/A</v>
      </c>
      <c r="O89" t="e">
        <f>NA()</f>
        <v>#N/A</v>
      </c>
      <c r="P89" t="e">
        <f>NA()</f>
        <v>#N/A</v>
      </c>
      <c r="Q89" t="e">
        <f>NA()</f>
        <v>#N/A</v>
      </c>
      <c r="R89" t="e">
        <f>NA()</f>
        <v>#N/A</v>
      </c>
    </row>
    <row r="90" spans="1:18">
      <c r="A90">
        <v>88</v>
      </c>
      <c r="C90">
        <f t="shared" si="9"/>
        <v>-52.705100000000002</v>
      </c>
      <c r="D90">
        <f t="shared" si="9"/>
        <v>24.862670000000001</v>
      </c>
      <c r="E90">
        <f t="shared" si="9"/>
        <v>-2.12</v>
      </c>
      <c r="F90">
        <f t="shared" si="9"/>
        <v>3.4000000000000002E-2</v>
      </c>
      <c r="G90">
        <f t="shared" si="9"/>
        <v>-101.5213</v>
      </c>
      <c r="H90">
        <f t="shared" si="9"/>
        <v>-3.8889179999999999</v>
      </c>
      <c r="L90">
        <v>90</v>
      </c>
      <c r="M90" t="e">
        <f>NA()</f>
        <v>#N/A</v>
      </c>
      <c r="N90" t="e">
        <f>NA()</f>
        <v>#N/A</v>
      </c>
      <c r="O90" t="e">
        <f>NA()</f>
        <v>#N/A</v>
      </c>
      <c r="P90" t="e">
        <f>NA()</f>
        <v>#N/A</v>
      </c>
      <c r="Q90" t="e">
        <f>NA()</f>
        <v>#N/A</v>
      </c>
      <c r="R90" t="e">
        <f>NA()</f>
        <v>#N/A</v>
      </c>
    </row>
    <row r="91" spans="1:18">
      <c r="A91">
        <v>89</v>
      </c>
      <c r="C91" t="e">
        <f t="shared" si="9"/>
        <v>#N/A</v>
      </c>
      <c r="D91" t="e">
        <f t="shared" si="9"/>
        <v>#N/A</v>
      </c>
      <c r="E91" t="e">
        <f t="shared" si="9"/>
        <v>#N/A</v>
      </c>
      <c r="F91" t="e">
        <f t="shared" si="9"/>
        <v>#N/A</v>
      </c>
      <c r="G91" t="e">
        <f t="shared" si="9"/>
        <v>#N/A</v>
      </c>
      <c r="H91" t="e">
        <f t="shared" si="9"/>
        <v>#N/A</v>
      </c>
      <c r="L91">
        <v>91</v>
      </c>
      <c r="M91">
        <v>-46.399389999999997</v>
      </c>
      <c r="N91">
        <v>21.54543</v>
      </c>
      <c r="O91">
        <v>-2.15</v>
      </c>
      <c r="P91">
        <v>3.2000000000000001E-2</v>
      </c>
      <c r="Q91">
        <v>-88.702399999999997</v>
      </c>
      <c r="R91">
        <v>-4.0963789999999998</v>
      </c>
    </row>
    <row r="92" spans="1:18">
      <c r="A92">
        <v>90</v>
      </c>
      <c r="C92" t="e">
        <f t="shared" si="9"/>
        <v>#N/A</v>
      </c>
      <c r="D92" t="e">
        <f t="shared" si="9"/>
        <v>#N/A</v>
      </c>
      <c r="E92" t="e">
        <f t="shared" si="9"/>
        <v>#N/A</v>
      </c>
      <c r="F92" t="e">
        <f t="shared" si="9"/>
        <v>#N/A</v>
      </c>
      <c r="G92" t="e">
        <f t="shared" si="9"/>
        <v>#N/A</v>
      </c>
      <c r="H92" t="e">
        <f t="shared" si="9"/>
        <v>#N/A</v>
      </c>
      <c r="L92">
        <v>92</v>
      </c>
      <c r="M92">
        <v>-36.013530000000003</v>
      </c>
      <c r="N92">
        <v>20.22973</v>
      </c>
      <c r="O92">
        <v>-1.78</v>
      </c>
      <c r="P92">
        <v>7.4999999999999997E-2</v>
      </c>
      <c r="Q92">
        <v>-75.733249999999998</v>
      </c>
      <c r="R92">
        <v>3.7061790000000001</v>
      </c>
    </row>
    <row r="93" spans="1:18">
      <c r="A93">
        <v>91</v>
      </c>
      <c r="C93">
        <f t="shared" ref="C93:H102" si="10">VLOOKUP($A93,CountryFEs,C$1,FALSE)</f>
        <v>-46.399389999999997</v>
      </c>
      <c r="D93">
        <f t="shared" si="10"/>
        <v>21.54543</v>
      </c>
      <c r="E93">
        <f t="shared" si="10"/>
        <v>-2.15</v>
      </c>
      <c r="F93">
        <f t="shared" si="10"/>
        <v>3.2000000000000001E-2</v>
      </c>
      <c r="G93">
        <f t="shared" si="10"/>
        <v>-88.702399999999997</v>
      </c>
      <c r="H93">
        <f t="shared" si="10"/>
        <v>-4.0963789999999998</v>
      </c>
      <c r="L93">
        <v>93</v>
      </c>
      <c r="M93">
        <v>-52.003270000000001</v>
      </c>
      <c r="N93">
        <v>18.239270000000001</v>
      </c>
      <c r="O93">
        <v>-2.85</v>
      </c>
      <c r="P93">
        <v>4.0000000000000001E-3</v>
      </c>
      <c r="Q93">
        <v>-87.814850000000007</v>
      </c>
      <c r="R93">
        <v>-16.191680000000002</v>
      </c>
    </row>
    <row r="94" spans="1:18">
      <c r="A94">
        <v>92</v>
      </c>
      <c r="C94">
        <f t="shared" si="10"/>
        <v>-36.013530000000003</v>
      </c>
      <c r="D94">
        <f t="shared" si="10"/>
        <v>20.22973</v>
      </c>
      <c r="E94">
        <f t="shared" si="10"/>
        <v>-1.78</v>
      </c>
      <c r="F94">
        <f t="shared" si="10"/>
        <v>7.4999999999999997E-2</v>
      </c>
      <c r="G94">
        <f t="shared" si="10"/>
        <v>-75.733249999999998</v>
      </c>
      <c r="H94">
        <f t="shared" si="10"/>
        <v>3.7061790000000001</v>
      </c>
      <c r="L94">
        <v>94</v>
      </c>
      <c r="M94">
        <v>-32.757860000000001</v>
      </c>
      <c r="N94">
        <v>19.67475</v>
      </c>
      <c r="O94">
        <v>-1.66</v>
      </c>
      <c r="P94">
        <v>9.6000000000000002E-2</v>
      </c>
      <c r="Q94">
        <v>-71.387929999999997</v>
      </c>
      <c r="R94">
        <v>5.8722000000000003</v>
      </c>
    </row>
    <row r="95" spans="1:18">
      <c r="A95">
        <v>93</v>
      </c>
      <c r="C95">
        <f t="shared" si="10"/>
        <v>-52.003270000000001</v>
      </c>
      <c r="D95">
        <f t="shared" si="10"/>
        <v>18.239270000000001</v>
      </c>
      <c r="E95">
        <f t="shared" si="10"/>
        <v>-2.85</v>
      </c>
      <c r="F95">
        <f t="shared" si="10"/>
        <v>4.0000000000000001E-3</v>
      </c>
      <c r="G95">
        <f t="shared" si="10"/>
        <v>-87.814850000000007</v>
      </c>
      <c r="H95">
        <f t="shared" si="10"/>
        <v>-16.191680000000002</v>
      </c>
      <c r="L95">
        <v>95</v>
      </c>
      <c r="M95">
        <v>-27.541</v>
      </c>
      <c r="N95">
        <v>21.537420000000001</v>
      </c>
      <c r="O95">
        <v>-1.28</v>
      </c>
      <c r="P95">
        <v>0.20100000000000001</v>
      </c>
      <c r="Q95">
        <v>-69.828289999999996</v>
      </c>
      <c r="R95">
        <v>14.74629</v>
      </c>
    </row>
    <row r="96" spans="1:18">
      <c r="A96">
        <v>94</v>
      </c>
      <c r="C96">
        <f t="shared" si="10"/>
        <v>-32.757860000000001</v>
      </c>
      <c r="D96">
        <f t="shared" si="10"/>
        <v>19.67475</v>
      </c>
      <c r="E96">
        <f t="shared" si="10"/>
        <v>-1.66</v>
      </c>
      <c r="F96">
        <f t="shared" si="10"/>
        <v>9.6000000000000002E-2</v>
      </c>
      <c r="G96">
        <f t="shared" si="10"/>
        <v>-71.387929999999997</v>
      </c>
      <c r="H96">
        <f t="shared" si="10"/>
        <v>5.8722000000000003</v>
      </c>
      <c r="L96">
        <v>96</v>
      </c>
      <c r="M96">
        <v>-44.043259999999997</v>
      </c>
      <c r="N96">
        <v>18.628</v>
      </c>
      <c r="O96">
        <v>-2.36</v>
      </c>
      <c r="P96">
        <v>1.7999999999999999E-2</v>
      </c>
      <c r="Q96">
        <v>-80.618089999999995</v>
      </c>
      <c r="R96">
        <v>-7.468426</v>
      </c>
    </row>
    <row r="97" spans="1:18">
      <c r="A97">
        <v>95</v>
      </c>
      <c r="C97">
        <f t="shared" si="10"/>
        <v>-27.541</v>
      </c>
      <c r="D97">
        <f t="shared" si="10"/>
        <v>21.537420000000001</v>
      </c>
      <c r="E97">
        <f t="shared" si="10"/>
        <v>-1.28</v>
      </c>
      <c r="F97">
        <f t="shared" si="10"/>
        <v>0.20100000000000001</v>
      </c>
      <c r="G97">
        <f t="shared" si="10"/>
        <v>-69.828289999999996</v>
      </c>
      <c r="H97">
        <f t="shared" si="10"/>
        <v>14.74629</v>
      </c>
      <c r="L97">
        <v>97</v>
      </c>
      <c r="M97">
        <v>-65.948239999999998</v>
      </c>
      <c r="N97">
        <v>18.239100000000001</v>
      </c>
      <c r="O97">
        <v>-3.62</v>
      </c>
      <c r="P97">
        <v>0</v>
      </c>
      <c r="Q97">
        <v>-101.7595</v>
      </c>
      <c r="R97">
        <v>-30.136980000000001</v>
      </c>
    </row>
    <row r="98" spans="1:18">
      <c r="A98">
        <v>96</v>
      </c>
      <c r="C98">
        <f t="shared" si="10"/>
        <v>-44.043259999999997</v>
      </c>
      <c r="D98">
        <f t="shared" si="10"/>
        <v>18.628</v>
      </c>
      <c r="E98">
        <f t="shared" si="10"/>
        <v>-2.36</v>
      </c>
      <c r="F98">
        <f t="shared" si="10"/>
        <v>1.7999999999999999E-2</v>
      </c>
      <c r="G98">
        <f t="shared" si="10"/>
        <v>-80.618089999999995</v>
      </c>
      <c r="H98">
        <f t="shared" si="10"/>
        <v>-7.468426</v>
      </c>
      <c r="L98">
        <v>98</v>
      </c>
      <c r="M98">
        <v>-57.220680000000002</v>
      </c>
      <c r="N98">
        <v>24.893460000000001</v>
      </c>
      <c r="O98">
        <v>-2.2999999999999998</v>
      </c>
      <c r="P98">
        <v>2.1999999999999999E-2</v>
      </c>
      <c r="Q98">
        <v>-106.0973</v>
      </c>
      <c r="R98">
        <v>-8.3440320000000003</v>
      </c>
    </row>
    <row r="99" spans="1:18">
      <c r="A99">
        <v>97</v>
      </c>
      <c r="C99">
        <f t="shared" si="10"/>
        <v>-65.948239999999998</v>
      </c>
      <c r="D99">
        <f t="shared" si="10"/>
        <v>18.239100000000001</v>
      </c>
      <c r="E99">
        <f t="shared" si="10"/>
        <v>-3.62</v>
      </c>
      <c r="F99">
        <f t="shared" si="10"/>
        <v>0</v>
      </c>
      <c r="G99">
        <f t="shared" si="10"/>
        <v>-101.7595</v>
      </c>
      <c r="H99">
        <f t="shared" si="10"/>
        <v>-30.136980000000001</v>
      </c>
      <c r="L99">
        <v>99</v>
      </c>
      <c r="M99">
        <v>-17.08259</v>
      </c>
      <c r="N99">
        <v>20.32413</v>
      </c>
      <c r="O99">
        <v>-0.84</v>
      </c>
      <c r="P99">
        <v>0.40100000000000002</v>
      </c>
      <c r="Q99">
        <v>-56.987670000000001</v>
      </c>
      <c r="R99">
        <v>22.822489999999998</v>
      </c>
    </row>
    <row r="100" spans="1:18">
      <c r="A100">
        <v>98</v>
      </c>
      <c r="C100">
        <f t="shared" si="10"/>
        <v>-57.220680000000002</v>
      </c>
      <c r="D100">
        <f t="shared" si="10"/>
        <v>24.893460000000001</v>
      </c>
      <c r="E100">
        <f t="shared" si="10"/>
        <v>-2.2999999999999998</v>
      </c>
      <c r="F100">
        <f t="shared" si="10"/>
        <v>2.1999999999999999E-2</v>
      </c>
      <c r="G100">
        <f t="shared" si="10"/>
        <v>-106.0973</v>
      </c>
      <c r="H100">
        <f t="shared" si="10"/>
        <v>-8.3440320000000003</v>
      </c>
      <c r="L100">
        <v>100</v>
      </c>
      <c r="M100" t="e">
        <f>NA()</f>
        <v>#N/A</v>
      </c>
      <c r="N100" t="e">
        <f>NA()</f>
        <v>#N/A</v>
      </c>
      <c r="O100" t="e">
        <f>NA()</f>
        <v>#N/A</v>
      </c>
      <c r="P100" t="e">
        <f>NA()</f>
        <v>#N/A</v>
      </c>
      <c r="Q100" t="e">
        <f>NA()</f>
        <v>#N/A</v>
      </c>
      <c r="R100" t="e">
        <f>NA()</f>
        <v>#N/A</v>
      </c>
    </row>
    <row r="101" spans="1:18">
      <c r="A101">
        <v>99</v>
      </c>
      <c r="C101">
        <f t="shared" si="10"/>
        <v>-17.08259</v>
      </c>
      <c r="D101">
        <f t="shared" si="10"/>
        <v>20.32413</v>
      </c>
      <c r="E101">
        <f t="shared" si="10"/>
        <v>-0.84</v>
      </c>
      <c r="F101">
        <f t="shared" si="10"/>
        <v>0.40100000000000002</v>
      </c>
      <c r="G101">
        <f t="shared" si="10"/>
        <v>-56.987670000000001</v>
      </c>
      <c r="H101">
        <f t="shared" si="10"/>
        <v>22.822489999999998</v>
      </c>
      <c r="L101">
        <v>101</v>
      </c>
      <c r="M101">
        <v>-49.878790000000002</v>
      </c>
      <c r="N101">
        <v>19.007210000000001</v>
      </c>
      <c r="O101">
        <v>-2.62</v>
      </c>
      <c r="P101">
        <v>8.9999999999999993E-3</v>
      </c>
      <c r="Q101">
        <v>-87.198170000000005</v>
      </c>
      <c r="R101">
        <v>-12.5594</v>
      </c>
    </row>
    <row r="102" spans="1:18">
      <c r="A102">
        <v>100</v>
      </c>
      <c r="C102" t="e">
        <f t="shared" si="10"/>
        <v>#N/A</v>
      </c>
      <c r="D102" t="e">
        <f t="shared" si="10"/>
        <v>#N/A</v>
      </c>
      <c r="E102" t="e">
        <f t="shared" si="10"/>
        <v>#N/A</v>
      </c>
      <c r="F102" t="e">
        <f t="shared" si="10"/>
        <v>#N/A</v>
      </c>
      <c r="G102" t="e">
        <f t="shared" si="10"/>
        <v>#N/A</v>
      </c>
      <c r="H102" t="e">
        <f t="shared" si="10"/>
        <v>#N/A</v>
      </c>
      <c r="L102">
        <v>102</v>
      </c>
      <c r="M102">
        <v>-23.466609999999999</v>
      </c>
      <c r="N102">
        <v>21.55565</v>
      </c>
      <c r="O102">
        <v>-1.0900000000000001</v>
      </c>
      <c r="P102">
        <v>0.27700000000000002</v>
      </c>
      <c r="Q102">
        <v>-65.789699999999996</v>
      </c>
      <c r="R102">
        <v>18.856470000000002</v>
      </c>
    </row>
    <row r="103" spans="1:18">
      <c r="A103">
        <v>101</v>
      </c>
      <c r="C103">
        <f t="shared" ref="C103:H112" si="11">VLOOKUP($A103,CountryFEs,C$1,FALSE)</f>
        <v>-49.878790000000002</v>
      </c>
      <c r="D103">
        <f t="shared" si="11"/>
        <v>19.007210000000001</v>
      </c>
      <c r="E103">
        <f t="shared" si="11"/>
        <v>-2.62</v>
      </c>
      <c r="F103">
        <f t="shared" si="11"/>
        <v>8.9999999999999993E-3</v>
      </c>
      <c r="G103">
        <f t="shared" si="11"/>
        <v>-87.198170000000005</v>
      </c>
      <c r="H103">
        <f t="shared" si="11"/>
        <v>-12.5594</v>
      </c>
      <c r="L103">
        <v>103</v>
      </c>
      <c r="M103" t="e">
        <f>NA()</f>
        <v>#N/A</v>
      </c>
      <c r="N103" t="e">
        <f>NA()</f>
        <v>#N/A</v>
      </c>
      <c r="O103" t="e">
        <f>NA()</f>
        <v>#N/A</v>
      </c>
      <c r="P103" t="e">
        <f>NA()</f>
        <v>#N/A</v>
      </c>
      <c r="Q103" t="e">
        <f>NA()</f>
        <v>#N/A</v>
      </c>
      <c r="R103" t="e">
        <f>NA()</f>
        <v>#N/A</v>
      </c>
    </row>
    <row r="104" spans="1:18">
      <c r="A104">
        <v>102</v>
      </c>
      <c r="C104">
        <f t="shared" si="11"/>
        <v>-23.466609999999999</v>
      </c>
      <c r="D104">
        <f t="shared" si="11"/>
        <v>21.55565</v>
      </c>
      <c r="E104">
        <f t="shared" si="11"/>
        <v>-1.0900000000000001</v>
      </c>
      <c r="F104">
        <f t="shared" si="11"/>
        <v>0.27700000000000002</v>
      </c>
      <c r="G104">
        <f t="shared" si="11"/>
        <v>-65.789699999999996</v>
      </c>
      <c r="H104">
        <f t="shared" si="11"/>
        <v>18.856470000000002</v>
      </c>
      <c r="L104">
        <v>104</v>
      </c>
      <c r="M104" t="e">
        <f>NA()</f>
        <v>#N/A</v>
      </c>
      <c r="N104" t="e">
        <f>NA()</f>
        <v>#N/A</v>
      </c>
      <c r="O104" t="e">
        <f>NA()</f>
        <v>#N/A</v>
      </c>
      <c r="P104" t="e">
        <f>NA()</f>
        <v>#N/A</v>
      </c>
      <c r="Q104" t="e">
        <f>NA()</f>
        <v>#N/A</v>
      </c>
      <c r="R104" t="e">
        <f>NA()</f>
        <v>#N/A</v>
      </c>
    </row>
    <row r="105" spans="1:18">
      <c r="A105">
        <v>103</v>
      </c>
      <c r="C105" t="e">
        <f t="shared" si="11"/>
        <v>#N/A</v>
      </c>
      <c r="D105" t="e">
        <f t="shared" si="11"/>
        <v>#N/A</v>
      </c>
      <c r="E105" t="e">
        <f t="shared" si="11"/>
        <v>#N/A</v>
      </c>
      <c r="F105" t="e">
        <f t="shared" si="11"/>
        <v>#N/A</v>
      </c>
      <c r="G105" t="e">
        <f t="shared" si="11"/>
        <v>#N/A</v>
      </c>
      <c r="H105" t="e">
        <f t="shared" si="11"/>
        <v>#N/A</v>
      </c>
      <c r="L105">
        <v>105</v>
      </c>
      <c r="M105">
        <v>-35.618859999999998</v>
      </c>
      <c r="N105">
        <v>19.604479999999999</v>
      </c>
      <c r="O105">
        <v>-1.82</v>
      </c>
      <c r="P105">
        <v>7.0000000000000007E-2</v>
      </c>
      <c r="Q105">
        <v>-74.110939999999999</v>
      </c>
      <c r="R105">
        <v>2.873224</v>
      </c>
    </row>
    <row r="106" spans="1:18">
      <c r="A106">
        <v>104</v>
      </c>
      <c r="C106" t="e">
        <f t="shared" si="11"/>
        <v>#N/A</v>
      </c>
      <c r="D106" t="e">
        <f t="shared" si="11"/>
        <v>#N/A</v>
      </c>
      <c r="E106" t="e">
        <f t="shared" si="11"/>
        <v>#N/A</v>
      </c>
      <c r="F106" t="e">
        <f t="shared" si="11"/>
        <v>#N/A</v>
      </c>
      <c r="G106" t="e">
        <f t="shared" si="11"/>
        <v>#N/A</v>
      </c>
      <c r="H106" t="e">
        <f t="shared" si="11"/>
        <v>#N/A</v>
      </c>
      <c r="L106">
        <v>106</v>
      </c>
      <c r="M106">
        <v>-77.846770000000006</v>
      </c>
      <c r="N106">
        <v>18.239190000000001</v>
      </c>
      <c r="O106">
        <v>-4.2699999999999996</v>
      </c>
      <c r="P106">
        <v>0</v>
      </c>
      <c r="Q106">
        <v>-113.65819999999999</v>
      </c>
      <c r="R106">
        <v>-42.035350000000001</v>
      </c>
    </row>
    <row r="107" spans="1:18">
      <c r="A107">
        <v>105</v>
      </c>
      <c r="C107">
        <f t="shared" si="11"/>
        <v>-35.618859999999998</v>
      </c>
      <c r="D107">
        <f t="shared" si="11"/>
        <v>19.604479999999999</v>
      </c>
      <c r="E107">
        <f t="shared" si="11"/>
        <v>-1.82</v>
      </c>
      <c r="F107">
        <f t="shared" si="11"/>
        <v>7.0000000000000007E-2</v>
      </c>
      <c r="G107">
        <f t="shared" si="11"/>
        <v>-74.110939999999999</v>
      </c>
      <c r="H107">
        <f t="shared" si="11"/>
        <v>2.873224</v>
      </c>
      <c r="L107">
        <v>107</v>
      </c>
      <c r="M107">
        <v>-63.621540000000003</v>
      </c>
      <c r="N107">
        <v>18.666679999999999</v>
      </c>
      <c r="O107">
        <v>-3.41</v>
      </c>
      <c r="P107">
        <v>1E-3</v>
      </c>
      <c r="Q107">
        <v>-100.2723</v>
      </c>
      <c r="R107">
        <v>-26.970770000000002</v>
      </c>
    </row>
    <row r="108" spans="1:18">
      <c r="A108">
        <v>106</v>
      </c>
      <c r="C108">
        <f t="shared" si="11"/>
        <v>-77.846770000000006</v>
      </c>
      <c r="D108">
        <f t="shared" si="11"/>
        <v>18.239190000000001</v>
      </c>
      <c r="E108">
        <f t="shared" si="11"/>
        <v>-4.2699999999999996</v>
      </c>
      <c r="F108">
        <f t="shared" si="11"/>
        <v>0</v>
      </c>
      <c r="G108">
        <f t="shared" si="11"/>
        <v>-113.65819999999999</v>
      </c>
      <c r="H108">
        <f t="shared" si="11"/>
        <v>-42.035350000000001</v>
      </c>
      <c r="L108">
        <v>108</v>
      </c>
      <c r="M108">
        <v>-62.011699999999998</v>
      </c>
      <c r="N108">
        <v>19.66807</v>
      </c>
      <c r="O108">
        <v>-3.15</v>
      </c>
      <c r="P108">
        <v>2E-3</v>
      </c>
      <c r="Q108">
        <v>-100.62860000000001</v>
      </c>
      <c r="R108">
        <v>-23.394760000000002</v>
      </c>
    </row>
    <row r="109" spans="1:18">
      <c r="A109">
        <v>107</v>
      </c>
      <c r="C109">
        <f t="shared" si="11"/>
        <v>-63.621540000000003</v>
      </c>
      <c r="D109">
        <f t="shared" si="11"/>
        <v>18.666679999999999</v>
      </c>
      <c r="E109">
        <f t="shared" si="11"/>
        <v>-3.41</v>
      </c>
      <c r="F109">
        <f t="shared" si="11"/>
        <v>1E-3</v>
      </c>
      <c r="G109">
        <f t="shared" si="11"/>
        <v>-100.2723</v>
      </c>
      <c r="H109">
        <f t="shared" si="11"/>
        <v>-26.970770000000002</v>
      </c>
      <c r="L109">
        <v>109</v>
      </c>
      <c r="M109" t="e">
        <f>NA()</f>
        <v>#N/A</v>
      </c>
      <c r="N109" t="e">
        <f>NA()</f>
        <v>#N/A</v>
      </c>
      <c r="O109" t="e">
        <f>NA()</f>
        <v>#N/A</v>
      </c>
      <c r="P109" t="e">
        <f>NA()</f>
        <v>#N/A</v>
      </c>
      <c r="Q109" t="e">
        <f>NA()</f>
        <v>#N/A</v>
      </c>
      <c r="R109" t="e">
        <f>NA()</f>
        <v>#N/A</v>
      </c>
    </row>
    <row r="110" spans="1:18">
      <c r="A110">
        <v>108</v>
      </c>
      <c r="C110">
        <f t="shared" si="11"/>
        <v>-62.011699999999998</v>
      </c>
      <c r="D110">
        <f t="shared" si="11"/>
        <v>19.66807</v>
      </c>
      <c r="E110">
        <f t="shared" si="11"/>
        <v>-3.15</v>
      </c>
      <c r="F110">
        <f t="shared" si="11"/>
        <v>2E-3</v>
      </c>
      <c r="G110">
        <f t="shared" si="11"/>
        <v>-100.62860000000001</v>
      </c>
      <c r="H110">
        <f t="shared" si="11"/>
        <v>-23.394760000000002</v>
      </c>
      <c r="L110">
        <v>110</v>
      </c>
      <c r="M110">
        <v>-36.937989999999999</v>
      </c>
      <c r="N110">
        <v>19.273240000000001</v>
      </c>
      <c r="O110">
        <v>-1.92</v>
      </c>
      <c r="P110">
        <v>5.6000000000000001E-2</v>
      </c>
      <c r="Q110">
        <v>-74.779719999999998</v>
      </c>
      <c r="R110">
        <v>0.90373630000000005</v>
      </c>
    </row>
    <row r="111" spans="1:18">
      <c r="A111">
        <v>109</v>
      </c>
      <c r="C111" t="e">
        <f t="shared" si="11"/>
        <v>#N/A</v>
      </c>
      <c r="D111" t="e">
        <f t="shared" si="11"/>
        <v>#N/A</v>
      </c>
      <c r="E111" t="e">
        <f t="shared" si="11"/>
        <v>#N/A</v>
      </c>
      <c r="F111" t="e">
        <f t="shared" si="11"/>
        <v>#N/A</v>
      </c>
      <c r="G111" t="e">
        <f t="shared" si="11"/>
        <v>#N/A</v>
      </c>
      <c r="H111" t="e">
        <f t="shared" si="11"/>
        <v>#N/A</v>
      </c>
      <c r="L111">
        <v>111</v>
      </c>
      <c r="M111">
        <v>-80.711609999999993</v>
      </c>
      <c r="N111">
        <v>18.240320000000001</v>
      </c>
      <c r="O111">
        <v>-4.42</v>
      </c>
      <c r="P111">
        <v>0</v>
      </c>
      <c r="Q111">
        <v>-116.5253</v>
      </c>
      <c r="R111">
        <v>-44.897950000000002</v>
      </c>
    </row>
    <row r="112" spans="1:18">
      <c r="A112">
        <v>110</v>
      </c>
      <c r="C112">
        <f t="shared" si="11"/>
        <v>-36.937989999999999</v>
      </c>
      <c r="D112">
        <f t="shared" si="11"/>
        <v>19.273240000000001</v>
      </c>
      <c r="E112">
        <f t="shared" si="11"/>
        <v>-1.92</v>
      </c>
      <c r="F112">
        <f t="shared" si="11"/>
        <v>5.6000000000000001E-2</v>
      </c>
      <c r="G112">
        <f t="shared" si="11"/>
        <v>-74.779719999999998</v>
      </c>
      <c r="H112">
        <f t="shared" si="11"/>
        <v>0.90373630000000005</v>
      </c>
      <c r="L112">
        <v>112</v>
      </c>
      <c r="M112">
        <v>-43.372839999999997</v>
      </c>
      <c r="N112">
        <v>20.229399999999998</v>
      </c>
      <c r="O112">
        <v>-2.14</v>
      </c>
      <c r="P112">
        <v>3.2000000000000001E-2</v>
      </c>
      <c r="Q112">
        <v>-83.091909999999999</v>
      </c>
      <c r="R112">
        <v>-3.653775</v>
      </c>
    </row>
    <row r="113" spans="1:18">
      <c r="A113">
        <v>111</v>
      </c>
      <c r="C113">
        <f t="shared" ref="C113:H122" si="12">VLOOKUP($A113,CountryFEs,C$1,FALSE)</f>
        <v>-80.711609999999993</v>
      </c>
      <c r="D113">
        <f t="shared" si="12"/>
        <v>18.240320000000001</v>
      </c>
      <c r="E113">
        <f t="shared" si="12"/>
        <v>-4.42</v>
      </c>
      <c r="F113">
        <f t="shared" si="12"/>
        <v>0</v>
      </c>
      <c r="G113">
        <f t="shared" si="12"/>
        <v>-116.5253</v>
      </c>
      <c r="H113">
        <f t="shared" si="12"/>
        <v>-44.897950000000002</v>
      </c>
      <c r="L113">
        <v>114</v>
      </c>
      <c r="M113" t="e">
        <f>NA()</f>
        <v>#N/A</v>
      </c>
      <c r="N113" t="e">
        <f>NA()</f>
        <v>#N/A</v>
      </c>
      <c r="O113" t="e">
        <f>NA()</f>
        <v>#N/A</v>
      </c>
      <c r="P113" t="e">
        <f>NA()</f>
        <v>#N/A</v>
      </c>
      <c r="Q113" t="e">
        <f>NA()</f>
        <v>#N/A</v>
      </c>
      <c r="R113" t="e">
        <f>NA()</f>
        <v>#N/A</v>
      </c>
    </row>
    <row r="114" spans="1:18">
      <c r="A114">
        <v>112</v>
      </c>
      <c r="C114">
        <f t="shared" si="12"/>
        <v>-43.372839999999997</v>
      </c>
      <c r="D114">
        <f t="shared" si="12"/>
        <v>20.229399999999998</v>
      </c>
      <c r="E114">
        <f t="shared" si="12"/>
        <v>-2.14</v>
      </c>
      <c r="F114">
        <f t="shared" si="12"/>
        <v>3.2000000000000001E-2</v>
      </c>
      <c r="G114">
        <f t="shared" si="12"/>
        <v>-83.091909999999999</v>
      </c>
      <c r="H114">
        <f t="shared" si="12"/>
        <v>-3.653775</v>
      </c>
      <c r="L114">
        <v>115</v>
      </c>
      <c r="M114">
        <v>-42.179290000000002</v>
      </c>
      <c r="N114">
        <v>18.958290000000002</v>
      </c>
      <c r="O114">
        <v>-2.2200000000000002</v>
      </c>
      <c r="P114">
        <v>2.5999999999999999E-2</v>
      </c>
      <c r="Q114">
        <v>-79.402619999999999</v>
      </c>
      <c r="R114">
        <v>-4.9559559999999996</v>
      </c>
    </row>
    <row r="115" spans="1:18">
      <c r="A115">
        <v>113</v>
      </c>
      <c r="C115" t="e">
        <f t="shared" si="12"/>
        <v>#N/A</v>
      </c>
      <c r="D115" t="e">
        <f t="shared" si="12"/>
        <v>#N/A</v>
      </c>
      <c r="E115" t="e">
        <f t="shared" si="12"/>
        <v>#N/A</v>
      </c>
      <c r="F115" t="e">
        <f t="shared" si="12"/>
        <v>#N/A</v>
      </c>
      <c r="G115" t="e">
        <f t="shared" si="12"/>
        <v>#N/A</v>
      </c>
      <c r="H115" t="e">
        <f t="shared" si="12"/>
        <v>#N/A</v>
      </c>
      <c r="L115">
        <v>116</v>
      </c>
      <c r="M115" t="e">
        <f>NA()</f>
        <v>#N/A</v>
      </c>
      <c r="N115" t="e">
        <f>NA()</f>
        <v>#N/A</v>
      </c>
      <c r="O115" t="e">
        <f>NA()</f>
        <v>#N/A</v>
      </c>
      <c r="P115" t="e">
        <f>NA()</f>
        <v>#N/A</v>
      </c>
      <c r="Q115" t="e">
        <f>NA()</f>
        <v>#N/A</v>
      </c>
      <c r="R115" t="e">
        <f>NA()</f>
        <v>#N/A</v>
      </c>
    </row>
    <row r="116" spans="1:18">
      <c r="A116">
        <v>114</v>
      </c>
      <c r="C116" t="e">
        <f t="shared" si="12"/>
        <v>#N/A</v>
      </c>
      <c r="D116" t="e">
        <f t="shared" si="12"/>
        <v>#N/A</v>
      </c>
      <c r="E116" t="e">
        <f t="shared" si="12"/>
        <v>#N/A</v>
      </c>
      <c r="F116" t="e">
        <f t="shared" si="12"/>
        <v>#N/A</v>
      </c>
      <c r="G116" t="e">
        <f t="shared" si="12"/>
        <v>#N/A</v>
      </c>
      <c r="H116" t="e">
        <f t="shared" si="12"/>
        <v>#N/A</v>
      </c>
      <c r="L116">
        <v>117</v>
      </c>
      <c r="M116">
        <v>-45.64188</v>
      </c>
      <c r="N116">
        <v>19.216709999999999</v>
      </c>
      <c r="O116">
        <v>-2.38</v>
      </c>
      <c r="P116">
        <v>1.7999999999999999E-2</v>
      </c>
      <c r="Q116">
        <v>-83.372600000000006</v>
      </c>
      <c r="R116">
        <v>-7.9111510000000003</v>
      </c>
    </row>
    <row r="117" spans="1:18">
      <c r="A117">
        <v>115</v>
      </c>
      <c r="C117">
        <f t="shared" si="12"/>
        <v>-42.179290000000002</v>
      </c>
      <c r="D117">
        <f t="shared" si="12"/>
        <v>18.958290000000002</v>
      </c>
      <c r="E117">
        <f t="shared" si="12"/>
        <v>-2.2200000000000002</v>
      </c>
      <c r="F117">
        <f t="shared" si="12"/>
        <v>2.5999999999999999E-2</v>
      </c>
      <c r="G117">
        <f t="shared" si="12"/>
        <v>-79.402619999999999</v>
      </c>
      <c r="H117">
        <f t="shared" si="12"/>
        <v>-4.9559559999999996</v>
      </c>
      <c r="L117">
        <v>118</v>
      </c>
      <c r="M117">
        <v>-62.370359999999998</v>
      </c>
      <c r="N117">
        <v>19.007680000000001</v>
      </c>
      <c r="O117">
        <v>-3.28</v>
      </c>
      <c r="P117">
        <v>1E-3</v>
      </c>
      <c r="Q117">
        <v>-99.69068</v>
      </c>
      <c r="R117">
        <v>-25.050049999999999</v>
      </c>
    </row>
    <row r="118" spans="1:18">
      <c r="A118">
        <v>116</v>
      </c>
      <c r="C118" t="e">
        <f t="shared" si="12"/>
        <v>#N/A</v>
      </c>
      <c r="D118" t="e">
        <f t="shared" si="12"/>
        <v>#N/A</v>
      </c>
      <c r="E118" t="e">
        <f t="shared" si="12"/>
        <v>#N/A</v>
      </c>
      <c r="F118" t="e">
        <f t="shared" si="12"/>
        <v>#N/A</v>
      </c>
      <c r="G118" t="e">
        <f t="shared" si="12"/>
        <v>#N/A</v>
      </c>
      <c r="H118" t="e">
        <f t="shared" si="12"/>
        <v>#N/A</v>
      </c>
      <c r="L118">
        <v>119</v>
      </c>
      <c r="M118">
        <v>-57.75703</v>
      </c>
      <c r="N118">
        <v>18.770949999999999</v>
      </c>
      <c r="O118">
        <v>-3.08</v>
      </c>
      <c r="P118">
        <v>2E-3</v>
      </c>
      <c r="Q118">
        <v>-94.612539999999996</v>
      </c>
      <c r="R118">
        <v>-20.901509999999998</v>
      </c>
    </row>
    <row r="119" spans="1:18">
      <c r="A119">
        <v>117</v>
      </c>
      <c r="C119">
        <f t="shared" si="12"/>
        <v>-45.64188</v>
      </c>
      <c r="D119">
        <f t="shared" si="12"/>
        <v>19.216709999999999</v>
      </c>
      <c r="E119">
        <f t="shared" si="12"/>
        <v>-2.38</v>
      </c>
      <c r="F119">
        <f t="shared" si="12"/>
        <v>1.7999999999999999E-2</v>
      </c>
      <c r="G119">
        <f t="shared" si="12"/>
        <v>-83.372600000000006</v>
      </c>
      <c r="H119">
        <f t="shared" si="12"/>
        <v>-7.9111510000000003</v>
      </c>
      <c r="L119">
        <v>120</v>
      </c>
      <c r="M119">
        <v>-55.486899999999999</v>
      </c>
      <c r="N119">
        <v>19.67315</v>
      </c>
      <c r="O119">
        <v>-2.82</v>
      </c>
      <c r="P119">
        <v>5.0000000000000001E-3</v>
      </c>
      <c r="Q119">
        <v>-94.113810000000001</v>
      </c>
      <c r="R119">
        <v>-16.85998</v>
      </c>
    </row>
    <row r="120" spans="1:18">
      <c r="A120">
        <v>118</v>
      </c>
      <c r="C120">
        <f t="shared" si="12"/>
        <v>-62.370359999999998</v>
      </c>
      <c r="D120">
        <f t="shared" si="12"/>
        <v>19.007680000000001</v>
      </c>
      <c r="E120">
        <f t="shared" si="12"/>
        <v>-3.28</v>
      </c>
      <c r="F120">
        <f t="shared" si="12"/>
        <v>1E-3</v>
      </c>
      <c r="G120">
        <f t="shared" si="12"/>
        <v>-99.69068</v>
      </c>
      <c r="H120">
        <f t="shared" si="12"/>
        <v>-25.050049999999999</v>
      </c>
      <c r="L120">
        <v>121</v>
      </c>
      <c r="M120">
        <v>-56.202460000000002</v>
      </c>
      <c r="N120">
        <v>18.239509999999999</v>
      </c>
      <c r="O120">
        <v>-3.08</v>
      </c>
      <c r="P120">
        <v>2E-3</v>
      </c>
      <c r="Q120">
        <v>-92.014529999999993</v>
      </c>
      <c r="R120">
        <v>-20.3904</v>
      </c>
    </row>
    <row r="121" spans="1:18">
      <c r="A121">
        <v>119</v>
      </c>
      <c r="C121">
        <f t="shared" si="12"/>
        <v>-57.75703</v>
      </c>
      <c r="D121">
        <f t="shared" si="12"/>
        <v>18.770949999999999</v>
      </c>
      <c r="E121">
        <f t="shared" si="12"/>
        <v>-3.08</v>
      </c>
      <c r="F121">
        <f t="shared" si="12"/>
        <v>2E-3</v>
      </c>
      <c r="G121">
        <f t="shared" si="12"/>
        <v>-94.612539999999996</v>
      </c>
      <c r="H121">
        <f t="shared" si="12"/>
        <v>-20.901509999999998</v>
      </c>
      <c r="L121">
        <v>122</v>
      </c>
      <c r="M121">
        <v>-60.079270000000001</v>
      </c>
      <c r="N121">
        <v>18.630030000000001</v>
      </c>
      <c r="O121">
        <v>-3.22</v>
      </c>
      <c r="P121">
        <v>1E-3</v>
      </c>
      <c r="Q121">
        <v>-96.658079999999998</v>
      </c>
      <c r="R121">
        <v>-23.500450000000001</v>
      </c>
    </row>
    <row r="122" spans="1:18">
      <c r="A122">
        <v>120</v>
      </c>
      <c r="C122">
        <f t="shared" si="12"/>
        <v>-55.486899999999999</v>
      </c>
      <c r="D122">
        <f t="shared" si="12"/>
        <v>19.67315</v>
      </c>
      <c r="E122">
        <f t="shared" si="12"/>
        <v>-2.82</v>
      </c>
      <c r="F122">
        <f t="shared" si="12"/>
        <v>5.0000000000000001E-3</v>
      </c>
      <c r="G122">
        <f t="shared" si="12"/>
        <v>-94.113810000000001</v>
      </c>
      <c r="H122">
        <f t="shared" si="12"/>
        <v>-16.85998</v>
      </c>
      <c r="L122">
        <v>123</v>
      </c>
      <c r="M122">
        <v>-55.532899999999998</v>
      </c>
      <c r="N122">
        <v>21.544740000000001</v>
      </c>
      <c r="O122">
        <v>-2.58</v>
      </c>
      <c r="P122">
        <v>0.01</v>
      </c>
      <c r="Q122">
        <v>-97.834549999999993</v>
      </c>
      <c r="R122">
        <v>-13.231249999999999</v>
      </c>
    </row>
    <row r="123" spans="1:18">
      <c r="A123">
        <v>121</v>
      </c>
      <c r="C123">
        <f t="shared" ref="C123:H132" si="13">VLOOKUP($A123,CountryFEs,C$1,FALSE)</f>
        <v>-56.202460000000002</v>
      </c>
      <c r="D123">
        <f t="shared" si="13"/>
        <v>18.239509999999999</v>
      </c>
      <c r="E123">
        <f t="shared" si="13"/>
        <v>-3.08</v>
      </c>
      <c r="F123">
        <f t="shared" si="13"/>
        <v>2E-3</v>
      </c>
      <c r="G123">
        <f t="shared" si="13"/>
        <v>-92.014529999999993</v>
      </c>
      <c r="H123">
        <f t="shared" si="13"/>
        <v>-20.3904</v>
      </c>
      <c r="L123">
        <v>124</v>
      </c>
      <c r="M123">
        <v>-31.45072</v>
      </c>
      <c r="N123">
        <v>19.602429999999998</v>
      </c>
      <c r="O123">
        <v>-1.6</v>
      </c>
      <c r="P123">
        <v>0.109</v>
      </c>
      <c r="Q123">
        <v>-69.938789999999997</v>
      </c>
      <c r="R123">
        <v>7.0373510000000001</v>
      </c>
    </row>
    <row r="124" spans="1:18">
      <c r="A124">
        <v>122</v>
      </c>
      <c r="C124">
        <f t="shared" si="13"/>
        <v>-60.079270000000001</v>
      </c>
      <c r="D124">
        <f t="shared" si="13"/>
        <v>18.630030000000001</v>
      </c>
      <c r="E124">
        <f t="shared" si="13"/>
        <v>-3.22</v>
      </c>
      <c r="F124">
        <f t="shared" si="13"/>
        <v>1E-3</v>
      </c>
      <c r="G124">
        <f t="shared" si="13"/>
        <v>-96.658079999999998</v>
      </c>
      <c r="H124">
        <f t="shared" si="13"/>
        <v>-23.500450000000001</v>
      </c>
      <c r="L124">
        <v>125</v>
      </c>
      <c r="M124">
        <v>-31.901150000000001</v>
      </c>
      <c r="N124">
        <v>18.426500000000001</v>
      </c>
      <c r="O124">
        <v>-1.73</v>
      </c>
      <c r="P124">
        <v>8.4000000000000005E-2</v>
      </c>
      <c r="Q124">
        <v>-68.080340000000007</v>
      </c>
      <c r="R124">
        <v>4.2780480000000001</v>
      </c>
    </row>
    <row r="125" spans="1:18">
      <c r="A125">
        <v>123</v>
      </c>
      <c r="C125">
        <f t="shared" si="13"/>
        <v>-55.532899999999998</v>
      </c>
      <c r="D125">
        <f t="shared" si="13"/>
        <v>21.544740000000001</v>
      </c>
      <c r="E125">
        <f t="shared" si="13"/>
        <v>-2.58</v>
      </c>
      <c r="F125">
        <f t="shared" si="13"/>
        <v>0.01</v>
      </c>
      <c r="G125">
        <f t="shared" si="13"/>
        <v>-97.834549999999993</v>
      </c>
      <c r="H125">
        <f t="shared" si="13"/>
        <v>-13.231249999999999</v>
      </c>
      <c r="L125">
        <v>126</v>
      </c>
      <c r="M125">
        <v>-65.034530000000004</v>
      </c>
      <c r="N125">
        <v>24.878309999999999</v>
      </c>
      <c r="O125">
        <v>-2.61</v>
      </c>
      <c r="P125">
        <v>8.9999999999999993E-3</v>
      </c>
      <c r="Q125">
        <v>-113.8814</v>
      </c>
      <c r="R125">
        <v>-16.187619999999999</v>
      </c>
    </row>
    <row r="126" spans="1:18">
      <c r="A126">
        <v>124</v>
      </c>
      <c r="C126">
        <f t="shared" si="13"/>
        <v>-31.45072</v>
      </c>
      <c r="D126">
        <f t="shared" si="13"/>
        <v>19.602429999999998</v>
      </c>
      <c r="E126">
        <f t="shared" si="13"/>
        <v>-1.6</v>
      </c>
      <c r="F126">
        <f t="shared" si="13"/>
        <v>0.109</v>
      </c>
      <c r="G126">
        <f t="shared" si="13"/>
        <v>-69.938789999999997</v>
      </c>
      <c r="H126">
        <f t="shared" si="13"/>
        <v>7.0373510000000001</v>
      </c>
      <c r="L126">
        <v>127</v>
      </c>
      <c r="M126" t="e">
        <f>NA()</f>
        <v>#N/A</v>
      </c>
      <c r="N126" t="e">
        <f>NA()</f>
        <v>#N/A</v>
      </c>
      <c r="O126" t="e">
        <f>NA()</f>
        <v>#N/A</v>
      </c>
      <c r="P126" t="e">
        <f>NA()</f>
        <v>#N/A</v>
      </c>
      <c r="Q126" t="e">
        <f>NA()</f>
        <v>#N/A</v>
      </c>
      <c r="R126" t="e">
        <f>NA()</f>
        <v>#N/A</v>
      </c>
    </row>
    <row r="127" spans="1:18">
      <c r="A127">
        <v>125</v>
      </c>
      <c r="C127">
        <f t="shared" si="13"/>
        <v>-31.901150000000001</v>
      </c>
      <c r="D127">
        <f t="shared" si="13"/>
        <v>18.426500000000001</v>
      </c>
      <c r="E127">
        <f t="shared" si="13"/>
        <v>-1.73</v>
      </c>
      <c r="F127">
        <f t="shared" si="13"/>
        <v>8.4000000000000005E-2</v>
      </c>
      <c r="G127">
        <f t="shared" si="13"/>
        <v>-68.080340000000007</v>
      </c>
      <c r="H127">
        <f t="shared" si="13"/>
        <v>4.2780480000000001</v>
      </c>
      <c r="L127">
        <v>128</v>
      </c>
      <c r="M127">
        <v>-69.710669999999993</v>
      </c>
      <c r="N127">
        <v>24.878309999999999</v>
      </c>
      <c r="O127">
        <v>-2.8</v>
      </c>
      <c r="P127">
        <v>5.0000000000000001E-3</v>
      </c>
      <c r="Q127">
        <v>-118.55759999999999</v>
      </c>
      <c r="R127">
        <v>-20.863769999999999</v>
      </c>
    </row>
    <row r="128" spans="1:18">
      <c r="A128">
        <v>126</v>
      </c>
      <c r="C128">
        <f t="shared" si="13"/>
        <v>-65.034530000000004</v>
      </c>
      <c r="D128">
        <f t="shared" si="13"/>
        <v>24.878309999999999</v>
      </c>
      <c r="E128">
        <f t="shared" si="13"/>
        <v>-2.61</v>
      </c>
      <c r="F128">
        <f t="shared" si="13"/>
        <v>8.9999999999999993E-3</v>
      </c>
      <c r="G128">
        <f t="shared" si="13"/>
        <v>-113.8814</v>
      </c>
      <c r="H128">
        <f t="shared" si="13"/>
        <v>-16.187619999999999</v>
      </c>
      <c r="L128">
        <v>129</v>
      </c>
      <c r="M128">
        <v>-36.5349</v>
      </c>
      <c r="N128">
        <v>24.85717</v>
      </c>
      <c r="O128">
        <v>-1.47</v>
      </c>
      <c r="P128">
        <v>0.14199999999999999</v>
      </c>
      <c r="Q128">
        <v>-85.340280000000007</v>
      </c>
      <c r="R128">
        <v>12.270479999999999</v>
      </c>
    </row>
    <row r="129" spans="1:18">
      <c r="A129">
        <v>127</v>
      </c>
      <c r="C129" t="e">
        <f t="shared" si="13"/>
        <v>#N/A</v>
      </c>
      <c r="D129" t="e">
        <f t="shared" si="13"/>
        <v>#N/A</v>
      </c>
      <c r="E129" t="e">
        <f t="shared" si="13"/>
        <v>#N/A</v>
      </c>
      <c r="F129" t="e">
        <f t="shared" si="13"/>
        <v>#N/A</v>
      </c>
      <c r="G129" t="e">
        <f t="shared" si="13"/>
        <v>#N/A</v>
      </c>
      <c r="H129" t="e">
        <f t="shared" si="13"/>
        <v>#N/A</v>
      </c>
      <c r="L129">
        <v>130</v>
      </c>
      <c r="M129">
        <v>-35.013800000000003</v>
      </c>
      <c r="N129">
        <v>18.353059999999999</v>
      </c>
      <c r="O129">
        <v>-1.91</v>
      </c>
      <c r="P129">
        <v>5.7000000000000002E-2</v>
      </c>
      <c r="Q129">
        <v>-71.048810000000003</v>
      </c>
      <c r="R129">
        <v>1.021218</v>
      </c>
    </row>
    <row r="130" spans="1:18">
      <c r="A130">
        <v>128</v>
      </c>
      <c r="C130">
        <f t="shared" si="13"/>
        <v>-69.710669999999993</v>
      </c>
      <c r="D130">
        <f t="shared" si="13"/>
        <v>24.878309999999999</v>
      </c>
      <c r="E130">
        <f t="shared" si="13"/>
        <v>-2.8</v>
      </c>
      <c r="F130">
        <f t="shared" si="13"/>
        <v>5.0000000000000001E-3</v>
      </c>
      <c r="G130">
        <f t="shared" si="13"/>
        <v>-118.55759999999999</v>
      </c>
      <c r="H130">
        <f t="shared" si="13"/>
        <v>-20.863769999999999</v>
      </c>
      <c r="L130">
        <v>131</v>
      </c>
      <c r="M130">
        <v>-41.04383</v>
      </c>
      <c r="N130">
        <v>19.611139999999999</v>
      </c>
      <c r="O130">
        <v>-2.09</v>
      </c>
      <c r="P130">
        <v>3.6999999999999998E-2</v>
      </c>
      <c r="Q130">
        <v>-79.548990000000003</v>
      </c>
      <c r="R130">
        <v>-2.5386649999999999</v>
      </c>
    </row>
    <row r="131" spans="1:18">
      <c r="A131">
        <v>129</v>
      </c>
      <c r="C131">
        <f t="shared" si="13"/>
        <v>-36.5349</v>
      </c>
      <c r="D131">
        <f t="shared" si="13"/>
        <v>24.85717</v>
      </c>
      <c r="E131">
        <f t="shared" si="13"/>
        <v>-1.47</v>
      </c>
      <c r="F131">
        <f t="shared" si="13"/>
        <v>0.14199999999999999</v>
      </c>
      <c r="G131">
        <f t="shared" si="13"/>
        <v>-85.340280000000007</v>
      </c>
      <c r="H131">
        <f t="shared" si="13"/>
        <v>12.270479999999999</v>
      </c>
      <c r="L131">
        <v>132</v>
      </c>
      <c r="M131">
        <v>-44.015709999999999</v>
      </c>
      <c r="N131">
        <v>19.60622</v>
      </c>
      <c r="O131">
        <v>-2.2400000000000002</v>
      </c>
      <c r="P131">
        <v>2.5000000000000001E-2</v>
      </c>
      <c r="Q131">
        <v>-82.511219999999994</v>
      </c>
      <c r="R131">
        <v>-5.5202080000000002</v>
      </c>
    </row>
    <row r="132" spans="1:18">
      <c r="A132">
        <v>130</v>
      </c>
      <c r="C132">
        <f t="shared" si="13"/>
        <v>-35.013800000000003</v>
      </c>
      <c r="D132">
        <f t="shared" si="13"/>
        <v>18.353059999999999</v>
      </c>
      <c r="E132">
        <f t="shared" si="13"/>
        <v>-1.91</v>
      </c>
      <c r="F132">
        <f t="shared" si="13"/>
        <v>5.7000000000000002E-2</v>
      </c>
      <c r="G132">
        <f t="shared" si="13"/>
        <v>-71.048810000000003</v>
      </c>
      <c r="H132">
        <f t="shared" si="13"/>
        <v>1.021218</v>
      </c>
      <c r="L132">
        <v>133</v>
      </c>
      <c r="M132">
        <v>-31.369859999999999</v>
      </c>
      <c r="N132">
        <v>24.85717</v>
      </c>
      <c r="O132">
        <v>-1.26</v>
      </c>
      <c r="P132">
        <v>0.20699999999999999</v>
      </c>
      <c r="Q132">
        <v>-80.175240000000002</v>
      </c>
      <c r="R132">
        <v>17.43552</v>
      </c>
    </row>
    <row r="133" spans="1:18">
      <c r="A133">
        <v>131</v>
      </c>
      <c r="C133">
        <f t="shared" ref="C133:H142" si="14">VLOOKUP($A133,CountryFEs,C$1,FALSE)</f>
        <v>-41.04383</v>
      </c>
      <c r="D133">
        <f t="shared" si="14"/>
        <v>19.611139999999999</v>
      </c>
      <c r="E133">
        <f t="shared" si="14"/>
        <v>-2.09</v>
      </c>
      <c r="F133">
        <f t="shared" si="14"/>
        <v>3.6999999999999998E-2</v>
      </c>
      <c r="G133">
        <f t="shared" si="14"/>
        <v>-79.548990000000003</v>
      </c>
      <c r="H133">
        <f t="shared" si="14"/>
        <v>-2.5386649999999999</v>
      </c>
      <c r="L133">
        <v>134</v>
      </c>
      <c r="M133">
        <v>-58.541170000000001</v>
      </c>
      <c r="N133">
        <v>20.317820000000001</v>
      </c>
      <c r="O133">
        <v>-2.88</v>
      </c>
      <c r="P133">
        <v>4.0000000000000001E-3</v>
      </c>
      <c r="Q133">
        <v>-98.433850000000007</v>
      </c>
      <c r="R133">
        <v>-18.648489999999999</v>
      </c>
    </row>
    <row r="134" spans="1:18">
      <c r="A134">
        <v>132</v>
      </c>
      <c r="C134">
        <f t="shared" si="14"/>
        <v>-44.015709999999999</v>
      </c>
      <c r="D134">
        <f t="shared" si="14"/>
        <v>19.60622</v>
      </c>
      <c r="E134">
        <f t="shared" si="14"/>
        <v>-2.2400000000000002</v>
      </c>
      <c r="F134">
        <f t="shared" si="14"/>
        <v>2.5000000000000001E-2</v>
      </c>
      <c r="G134">
        <f t="shared" si="14"/>
        <v>-82.511219999999994</v>
      </c>
      <c r="H134">
        <f t="shared" si="14"/>
        <v>-5.5202080000000002</v>
      </c>
      <c r="L134">
        <v>135</v>
      </c>
      <c r="M134">
        <v>-70.051349999999999</v>
      </c>
      <c r="N134">
        <v>18.158090000000001</v>
      </c>
      <c r="O134">
        <v>-3.86</v>
      </c>
      <c r="P134">
        <v>0</v>
      </c>
      <c r="Q134">
        <v>-105.70350000000001</v>
      </c>
      <c r="R134">
        <v>-34.399160000000002</v>
      </c>
    </row>
    <row r="135" spans="1:18">
      <c r="A135">
        <v>133</v>
      </c>
      <c r="C135">
        <f t="shared" si="14"/>
        <v>-31.369859999999999</v>
      </c>
      <c r="D135">
        <f t="shared" si="14"/>
        <v>24.85717</v>
      </c>
      <c r="E135">
        <f t="shared" si="14"/>
        <v>-1.26</v>
      </c>
      <c r="F135">
        <f t="shared" si="14"/>
        <v>0.20699999999999999</v>
      </c>
      <c r="G135">
        <f t="shared" si="14"/>
        <v>-80.175240000000002</v>
      </c>
      <c r="H135">
        <f t="shared" si="14"/>
        <v>17.43552</v>
      </c>
      <c r="L135">
        <v>136</v>
      </c>
      <c r="M135">
        <v>-48.693620000000003</v>
      </c>
      <c r="N135">
        <v>18.66469</v>
      </c>
      <c r="O135">
        <v>-2.61</v>
      </c>
      <c r="P135">
        <v>8.9999999999999993E-3</v>
      </c>
      <c r="Q135">
        <v>-85.340490000000003</v>
      </c>
      <c r="R135">
        <v>-12.046749999999999</v>
      </c>
    </row>
    <row r="136" spans="1:18">
      <c r="A136">
        <v>134</v>
      </c>
      <c r="C136">
        <f t="shared" si="14"/>
        <v>-58.541170000000001</v>
      </c>
      <c r="D136">
        <f t="shared" si="14"/>
        <v>20.317820000000001</v>
      </c>
      <c r="E136">
        <f t="shared" si="14"/>
        <v>-2.88</v>
      </c>
      <c r="F136">
        <f t="shared" si="14"/>
        <v>4.0000000000000001E-3</v>
      </c>
      <c r="G136">
        <f t="shared" si="14"/>
        <v>-98.433850000000007</v>
      </c>
      <c r="H136">
        <f t="shared" si="14"/>
        <v>-18.648489999999999</v>
      </c>
      <c r="L136">
        <v>137</v>
      </c>
      <c r="M136">
        <v>-36.60033</v>
      </c>
      <c r="N136">
        <v>24.85717</v>
      </c>
      <c r="O136">
        <v>-1.47</v>
      </c>
      <c r="P136">
        <v>0.14099999999999999</v>
      </c>
      <c r="Q136">
        <v>-85.405709999999999</v>
      </c>
      <c r="R136">
        <v>12.20505</v>
      </c>
    </row>
    <row r="137" spans="1:18">
      <c r="A137">
        <v>135</v>
      </c>
      <c r="C137">
        <f t="shared" si="14"/>
        <v>-70.051349999999999</v>
      </c>
      <c r="D137">
        <f t="shared" si="14"/>
        <v>18.158090000000001</v>
      </c>
      <c r="E137">
        <f t="shared" si="14"/>
        <v>-3.86</v>
      </c>
      <c r="F137">
        <f t="shared" si="14"/>
        <v>0</v>
      </c>
      <c r="G137">
        <f t="shared" si="14"/>
        <v>-105.70350000000001</v>
      </c>
      <c r="H137">
        <f t="shared" si="14"/>
        <v>-34.399160000000002</v>
      </c>
      <c r="L137">
        <v>138</v>
      </c>
      <c r="M137" t="e">
        <f>NA()</f>
        <v>#N/A</v>
      </c>
      <c r="N137" t="e">
        <f>NA()</f>
        <v>#N/A</v>
      </c>
      <c r="O137" t="e">
        <f>NA()</f>
        <v>#N/A</v>
      </c>
      <c r="P137" t="e">
        <f>NA()</f>
        <v>#N/A</v>
      </c>
      <c r="Q137" t="e">
        <f>NA()</f>
        <v>#N/A</v>
      </c>
      <c r="R137" t="e">
        <f>NA()</f>
        <v>#N/A</v>
      </c>
    </row>
    <row r="138" spans="1:18">
      <c r="A138">
        <v>136</v>
      </c>
      <c r="C138">
        <f t="shared" si="14"/>
        <v>-48.693620000000003</v>
      </c>
      <c r="D138">
        <f t="shared" si="14"/>
        <v>18.66469</v>
      </c>
      <c r="E138">
        <f t="shared" si="14"/>
        <v>-2.61</v>
      </c>
      <c r="F138">
        <f t="shared" si="14"/>
        <v>8.9999999999999993E-3</v>
      </c>
      <c r="G138">
        <f t="shared" si="14"/>
        <v>-85.340490000000003</v>
      </c>
      <c r="H138">
        <f t="shared" si="14"/>
        <v>-12.046749999999999</v>
      </c>
      <c r="L138">
        <v>139</v>
      </c>
      <c r="M138">
        <v>-22.654409999999999</v>
      </c>
      <c r="N138">
        <v>24.85717</v>
      </c>
      <c r="O138">
        <v>-0.91</v>
      </c>
      <c r="P138">
        <v>0.36199999999999999</v>
      </c>
      <c r="Q138">
        <v>-71.459789999999998</v>
      </c>
      <c r="R138">
        <v>26.150980000000001</v>
      </c>
    </row>
    <row r="139" spans="1:18">
      <c r="A139">
        <v>137</v>
      </c>
      <c r="C139">
        <f t="shared" si="14"/>
        <v>-36.60033</v>
      </c>
      <c r="D139">
        <f t="shared" si="14"/>
        <v>24.85717</v>
      </c>
      <c r="E139">
        <f t="shared" si="14"/>
        <v>-1.47</v>
      </c>
      <c r="F139">
        <f t="shared" si="14"/>
        <v>0.14099999999999999</v>
      </c>
      <c r="G139">
        <f t="shared" si="14"/>
        <v>-85.405709999999999</v>
      </c>
      <c r="H139">
        <f t="shared" si="14"/>
        <v>12.20505</v>
      </c>
      <c r="L139">
        <v>140</v>
      </c>
      <c r="M139">
        <v>-75.271739999999994</v>
      </c>
      <c r="N139">
        <v>18.197230000000001</v>
      </c>
      <c r="O139">
        <v>-4.1399999999999997</v>
      </c>
      <c r="P139">
        <v>0</v>
      </c>
      <c r="Q139">
        <v>-111.0008</v>
      </c>
      <c r="R139">
        <v>-39.542700000000004</v>
      </c>
    </row>
    <row r="140" spans="1:18">
      <c r="A140">
        <v>138</v>
      </c>
      <c r="C140" t="e">
        <f t="shared" si="14"/>
        <v>#N/A</v>
      </c>
      <c r="D140" t="e">
        <f t="shared" si="14"/>
        <v>#N/A</v>
      </c>
      <c r="E140" t="e">
        <f t="shared" si="14"/>
        <v>#N/A</v>
      </c>
      <c r="F140" t="e">
        <f t="shared" si="14"/>
        <v>#N/A</v>
      </c>
      <c r="G140" t="e">
        <f t="shared" si="14"/>
        <v>#N/A</v>
      </c>
      <c r="H140" t="e">
        <f t="shared" si="14"/>
        <v>#N/A</v>
      </c>
      <c r="L140">
        <v>141</v>
      </c>
      <c r="M140">
        <v>-71.721519999999998</v>
      </c>
      <c r="N140">
        <v>18.35417</v>
      </c>
      <c r="O140">
        <v>-3.91</v>
      </c>
      <c r="P140">
        <v>0</v>
      </c>
      <c r="Q140">
        <v>-107.7587</v>
      </c>
      <c r="R140">
        <v>-35.684330000000003</v>
      </c>
    </row>
    <row r="141" spans="1:18">
      <c r="A141">
        <v>139</v>
      </c>
      <c r="C141">
        <f t="shared" si="14"/>
        <v>-22.654409999999999</v>
      </c>
      <c r="D141">
        <f t="shared" si="14"/>
        <v>24.85717</v>
      </c>
      <c r="E141">
        <f t="shared" si="14"/>
        <v>-0.91</v>
      </c>
      <c r="F141">
        <f t="shared" si="14"/>
        <v>0.36199999999999999</v>
      </c>
      <c r="G141">
        <f t="shared" si="14"/>
        <v>-71.459789999999998</v>
      </c>
      <c r="H141">
        <f t="shared" si="14"/>
        <v>26.150980000000001</v>
      </c>
      <c r="L141">
        <v>142</v>
      </c>
      <c r="M141">
        <v>-39.276699999999998</v>
      </c>
      <c r="N141">
        <v>18.77158</v>
      </c>
      <c r="O141">
        <v>-2.09</v>
      </c>
      <c r="P141">
        <v>3.6999999999999998E-2</v>
      </c>
      <c r="Q141">
        <v>-76.133439999999993</v>
      </c>
      <c r="R141">
        <v>-2.4199570000000001</v>
      </c>
    </row>
    <row r="142" spans="1:18">
      <c r="A142">
        <v>140</v>
      </c>
      <c r="C142">
        <f t="shared" si="14"/>
        <v>-75.271739999999994</v>
      </c>
      <c r="D142">
        <f t="shared" si="14"/>
        <v>18.197230000000001</v>
      </c>
      <c r="E142">
        <f t="shared" si="14"/>
        <v>-4.1399999999999997</v>
      </c>
      <c r="F142">
        <f t="shared" si="14"/>
        <v>0</v>
      </c>
      <c r="G142">
        <f t="shared" si="14"/>
        <v>-111.0008</v>
      </c>
      <c r="H142">
        <f t="shared" si="14"/>
        <v>-39.542700000000004</v>
      </c>
      <c r="L142">
        <v>143</v>
      </c>
      <c r="M142">
        <v>-42.100320000000004</v>
      </c>
      <c r="N142">
        <v>18.35351</v>
      </c>
      <c r="O142">
        <v>-2.29</v>
      </c>
      <c r="P142">
        <v>2.1999999999999999E-2</v>
      </c>
      <c r="Q142">
        <v>-78.136210000000005</v>
      </c>
      <c r="R142">
        <v>-6.0644289999999996</v>
      </c>
    </row>
    <row r="143" spans="1:18">
      <c r="A143">
        <v>141</v>
      </c>
      <c r="C143">
        <f t="shared" ref="C143:H152" si="15">VLOOKUP($A143,CountryFEs,C$1,FALSE)</f>
        <v>-71.721519999999998</v>
      </c>
      <c r="D143">
        <f t="shared" si="15"/>
        <v>18.35417</v>
      </c>
      <c r="E143">
        <f t="shared" si="15"/>
        <v>-3.91</v>
      </c>
      <c r="F143">
        <f t="shared" si="15"/>
        <v>0</v>
      </c>
      <c r="G143">
        <f t="shared" si="15"/>
        <v>-107.7587</v>
      </c>
      <c r="H143">
        <f t="shared" si="15"/>
        <v>-35.684330000000003</v>
      </c>
      <c r="L143">
        <v>144</v>
      </c>
      <c r="M143" t="e">
        <f>NA()</f>
        <v>#N/A</v>
      </c>
      <c r="N143" t="e">
        <f>NA()</f>
        <v>#N/A</v>
      </c>
      <c r="O143" t="e">
        <f>NA()</f>
        <v>#N/A</v>
      </c>
      <c r="P143" t="e">
        <f>NA()</f>
        <v>#N/A</v>
      </c>
      <c r="Q143" t="e">
        <f>NA()</f>
        <v>#N/A</v>
      </c>
      <c r="R143" t="e">
        <f>NA()</f>
        <v>#N/A</v>
      </c>
    </row>
    <row r="144" spans="1:18">
      <c r="A144">
        <v>142</v>
      </c>
      <c r="C144">
        <f t="shared" si="15"/>
        <v>-39.276699999999998</v>
      </c>
      <c r="D144">
        <f t="shared" si="15"/>
        <v>18.77158</v>
      </c>
      <c r="E144">
        <f t="shared" si="15"/>
        <v>-2.09</v>
      </c>
      <c r="F144">
        <f t="shared" si="15"/>
        <v>3.6999999999999998E-2</v>
      </c>
      <c r="G144">
        <f t="shared" si="15"/>
        <v>-76.133439999999993</v>
      </c>
      <c r="H144">
        <f t="shared" si="15"/>
        <v>-2.4199570000000001</v>
      </c>
      <c r="L144">
        <v>145</v>
      </c>
      <c r="M144" t="e">
        <f>NA()</f>
        <v>#N/A</v>
      </c>
      <c r="N144" t="e">
        <f>NA()</f>
        <v>#N/A</v>
      </c>
      <c r="O144" t="e">
        <f>NA()</f>
        <v>#N/A</v>
      </c>
      <c r="P144" t="e">
        <f>NA()</f>
        <v>#N/A</v>
      </c>
      <c r="Q144" t="e">
        <f>NA()</f>
        <v>#N/A</v>
      </c>
      <c r="R144" t="e">
        <f>NA()</f>
        <v>#N/A</v>
      </c>
    </row>
    <row r="145" spans="1:18">
      <c r="A145">
        <v>143</v>
      </c>
      <c r="C145">
        <f t="shared" si="15"/>
        <v>-42.100320000000004</v>
      </c>
      <c r="D145">
        <f t="shared" si="15"/>
        <v>18.35351</v>
      </c>
      <c r="E145">
        <f t="shared" si="15"/>
        <v>-2.29</v>
      </c>
      <c r="F145">
        <f t="shared" si="15"/>
        <v>2.1999999999999999E-2</v>
      </c>
      <c r="G145">
        <f t="shared" si="15"/>
        <v>-78.136210000000005</v>
      </c>
      <c r="H145">
        <f t="shared" si="15"/>
        <v>-6.0644289999999996</v>
      </c>
      <c r="L145">
        <v>146</v>
      </c>
      <c r="M145">
        <v>-45.374960000000002</v>
      </c>
      <c r="N145">
        <v>18.239149999999999</v>
      </c>
      <c r="O145">
        <v>-2.4900000000000002</v>
      </c>
      <c r="P145">
        <v>1.2999999999999999E-2</v>
      </c>
      <c r="Q145">
        <v>-81.186310000000006</v>
      </c>
      <c r="R145">
        <v>-9.5636170000000007</v>
      </c>
    </row>
    <row r="146" spans="1:18">
      <c r="A146">
        <v>144</v>
      </c>
      <c r="C146" t="e">
        <f t="shared" si="15"/>
        <v>#N/A</v>
      </c>
      <c r="D146" t="e">
        <f t="shared" si="15"/>
        <v>#N/A</v>
      </c>
      <c r="E146" t="e">
        <f t="shared" si="15"/>
        <v>#N/A</v>
      </c>
      <c r="F146" t="e">
        <f t="shared" si="15"/>
        <v>#N/A</v>
      </c>
      <c r="G146" t="e">
        <f t="shared" si="15"/>
        <v>#N/A</v>
      </c>
      <c r="H146" t="e">
        <f t="shared" si="15"/>
        <v>#N/A</v>
      </c>
      <c r="L146">
        <v>147</v>
      </c>
      <c r="M146">
        <v>-39.959490000000002</v>
      </c>
      <c r="N146">
        <v>20.312819999999999</v>
      </c>
      <c r="O146">
        <v>-1.97</v>
      </c>
      <c r="P146">
        <v>0.05</v>
      </c>
      <c r="Q146">
        <v>-79.842359999999999</v>
      </c>
      <c r="R146">
        <v>-7.6625700000000005E-2</v>
      </c>
    </row>
    <row r="147" spans="1:18">
      <c r="A147">
        <v>145</v>
      </c>
      <c r="C147" t="e">
        <f t="shared" si="15"/>
        <v>#N/A</v>
      </c>
      <c r="D147" t="e">
        <f t="shared" si="15"/>
        <v>#N/A</v>
      </c>
      <c r="E147" t="e">
        <f t="shared" si="15"/>
        <v>#N/A</v>
      </c>
      <c r="F147" t="e">
        <f t="shared" si="15"/>
        <v>#N/A</v>
      </c>
      <c r="G147" t="e">
        <f t="shared" si="15"/>
        <v>#N/A</v>
      </c>
      <c r="H147" t="e">
        <f t="shared" si="15"/>
        <v>#N/A</v>
      </c>
      <c r="L147">
        <v>148</v>
      </c>
      <c r="M147">
        <v>-48.68871</v>
      </c>
      <c r="N147">
        <v>18.425809999999998</v>
      </c>
      <c r="O147">
        <v>-2.64</v>
      </c>
      <c r="P147">
        <v>8.0000000000000002E-3</v>
      </c>
      <c r="Q147">
        <v>-84.866550000000004</v>
      </c>
      <c r="R147">
        <v>-12.510859999999999</v>
      </c>
    </row>
    <row r="148" spans="1:18">
      <c r="A148">
        <v>146</v>
      </c>
      <c r="C148">
        <f t="shared" si="15"/>
        <v>-45.374960000000002</v>
      </c>
      <c r="D148">
        <f t="shared" si="15"/>
        <v>18.239149999999999</v>
      </c>
      <c r="E148">
        <f t="shared" si="15"/>
        <v>-2.4900000000000002</v>
      </c>
      <c r="F148">
        <f t="shared" si="15"/>
        <v>1.2999999999999999E-2</v>
      </c>
      <c r="G148">
        <f t="shared" si="15"/>
        <v>-81.186310000000006</v>
      </c>
      <c r="H148">
        <f t="shared" si="15"/>
        <v>-9.5636170000000007</v>
      </c>
      <c r="L148">
        <v>149</v>
      </c>
      <c r="M148">
        <v>-52.247239999999998</v>
      </c>
      <c r="N148">
        <v>18.239100000000001</v>
      </c>
      <c r="O148">
        <v>-2.86</v>
      </c>
      <c r="P148">
        <v>4.0000000000000001E-3</v>
      </c>
      <c r="Q148">
        <v>-88.058499999999995</v>
      </c>
      <c r="R148">
        <v>-16.43599</v>
      </c>
    </row>
    <row r="149" spans="1:18">
      <c r="A149">
        <v>147</v>
      </c>
      <c r="C149">
        <f t="shared" si="15"/>
        <v>-39.959490000000002</v>
      </c>
      <c r="D149">
        <f t="shared" si="15"/>
        <v>20.312819999999999</v>
      </c>
      <c r="E149">
        <f t="shared" si="15"/>
        <v>-1.97</v>
      </c>
      <c r="F149">
        <f t="shared" si="15"/>
        <v>0.05</v>
      </c>
      <c r="G149">
        <f t="shared" si="15"/>
        <v>-79.842359999999999</v>
      </c>
      <c r="H149">
        <f t="shared" si="15"/>
        <v>-7.6625700000000005E-2</v>
      </c>
      <c r="L149">
        <v>150</v>
      </c>
      <c r="M149" t="e">
        <f>NA()</f>
        <v>#N/A</v>
      </c>
      <c r="N149" t="e">
        <f>NA()</f>
        <v>#N/A</v>
      </c>
      <c r="O149" t="e">
        <f>NA()</f>
        <v>#N/A</v>
      </c>
      <c r="P149" t="e">
        <f>NA()</f>
        <v>#N/A</v>
      </c>
      <c r="Q149" t="e">
        <f>NA()</f>
        <v>#N/A</v>
      </c>
      <c r="R149" t="e">
        <f>NA()</f>
        <v>#N/A</v>
      </c>
    </row>
    <row r="150" spans="1:18">
      <c r="A150">
        <v>148</v>
      </c>
      <c r="C150">
        <f t="shared" si="15"/>
        <v>-48.68871</v>
      </c>
      <c r="D150">
        <f t="shared" si="15"/>
        <v>18.425809999999998</v>
      </c>
      <c r="E150">
        <f t="shared" si="15"/>
        <v>-2.64</v>
      </c>
      <c r="F150">
        <f t="shared" si="15"/>
        <v>8.0000000000000002E-3</v>
      </c>
      <c r="G150">
        <f t="shared" si="15"/>
        <v>-84.866550000000004</v>
      </c>
      <c r="H150">
        <f t="shared" si="15"/>
        <v>-12.510859999999999</v>
      </c>
      <c r="L150">
        <v>151</v>
      </c>
      <c r="M150">
        <v>-23.078410000000002</v>
      </c>
      <c r="N150">
        <v>20.316289999999999</v>
      </c>
      <c r="O150">
        <v>-1.1399999999999999</v>
      </c>
      <c r="P150">
        <v>0.25600000000000001</v>
      </c>
      <c r="Q150">
        <v>-62.968089999999997</v>
      </c>
      <c r="R150">
        <v>16.811260000000001</v>
      </c>
    </row>
    <row r="151" spans="1:18">
      <c r="A151">
        <v>149</v>
      </c>
      <c r="C151">
        <f t="shared" si="15"/>
        <v>-52.247239999999998</v>
      </c>
      <c r="D151">
        <f t="shared" si="15"/>
        <v>18.239100000000001</v>
      </c>
      <c r="E151">
        <f t="shared" si="15"/>
        <v>-2.86</v>
      </c>
      <c r="F151">
        <f t="shared" si="15"/>
        <v>4.0000000000000001E-3</v>
      </c>
      <c r="G151">
        <f t="shared" si="15"/>
        <v>-88.058499999999995</v>
      </c>
      <c r="H151">
        <f t="shared" si="15"/>
        <v>-16.43599</v>
      </c>
      <c r="L151">
        <v>152</v>
      </c>
      <c r="M151">
        <v>-36.478990000000003</v>
      </c>
      <c r="N151">
        <v>24.85717</v>
      </c>
      <c r="O151">
        <v>-1.47</v>
      </c>
      <c r="P151">
        <v>0.14299999999999999</v>
      </c>
      <c r="Q151">
        <v>-85.284379999999999</v>
      </c>
      <c r="R151">
        <v>12.32639</v>
      </c>
    </row>
    <row r="152" spans="1:18">
      <c r="A152">
        <v>150</v>
      </c>
      <c r="C152" t="e">
        <f t="shared" si="15"/>
        <v>#N/A</v>
      </c>
      <c r="D152" t="e">
        <f t="shared" si="15"/>
        <v>#N/A</v>
      </c>
      <c r="E152" t="e">
        <f t="shared" si="15"/>
        <v>#N/A</v>
      </c>
      <c r="F152" t="e">
        <f t="shared" si="15"/>
        <v>#N/A</v>
      </c>
      <c r="G152" t="e">
        <f t="shared" si="15"/>
        <v>#N/A</v>
      </c>
      <c r="H152" t="e">
        <f t="shared" si="15"/>
        <v>#N/A</v>
      </c>
      <c r="L152">
        <v>153</v>
      </c>
      <c r="M152">
        <v>-57.819980000000001</v>
      </c>
      <c r="N152">
        <v>20.317820000000001</v>
      </c>
      <c r="O152">
        <v>-2.85</v>
      </c>
      <c r="P152">
        <v>5.0000000000000001E-3</v>
      </c>
      <c r="Q152">
        <v>-97.71266</v>
      </c>
      <c r="R152">
        <v>-17.927299999999999</v>
      </c>
    </row>
    <row r="153" spans="1:18">
      <c r="A153">
        <v>151</v>
      </c>
      <c r="C153">
        <f t="shared" ref="C153:H162" si="16">VLOOKUP($A153,CountryFEs,C$1,FALSE)</f>
        <v>-23.078410000000002</v>
      </c>
      <c r="D153">
        <f t="shared" si="16"/>
        <v>20.316289999999999</v>
      </c>
      <c r="E153">
        <f t="shared" si="16"/>
        <v>-1.1399999999999999</v>
      </c>
      <c r="F153">
        <f t="shared" si="16"/>
        <v>0.25600000000000001</v>
      </c>
      <c r="G153">
        <f t="shared" si="16"/>
        <v>-62.968089999999997</v>
      </c>
      <c r="H153">
        <f t="shared" si="16"/>
        <v>16.811260000000001</v>
      </c>
      <c r="L153">
        <v>154</v>
      </c>
      <c r="M153">
        <v>-78.843559999999997</v>
      </c>
      <c r="N153">
        <v>18.353549999999998</v>
      </c>
      <c r="O153">
        <v>-4.3</v>
      </c>
      <c r="P153">
        <v>0</v>
      </c>
      <c r="Q153">
        <v>-114.87949999999999</v>
      </c>
      <c r="R153">
        <v>-42.807589999999998</v>
      </c>
    </row>
    <row r="154" spans="1:18">
      <c r="A154">
        <v>152</v>
      </c>
      <c r="C154">
        <f t="shared" si="16"/>
        <v>-36.478990000000003</v>
      </c>
      <c r="D154">
        <f t="shared" si="16"/>
        <v>24.85717</v>
      </c>
      <c r="E154">
        <f t="shared" si="16"/>
        <v>-1.47</v>
      </c>
      <c r="F154">
        <f t="shared" si="16"/>
        <v>0.14299999999999999</v>
      </c>
      <c r="G154">
        <f t="shared" si="16"/>
        <v>-85.284379999999999</v>
      </c>
      <c r="H154">
        <f t="shared" si="16"/>
        <v>12.32639</v>
      </c>
      <c r="L154">
        <v>155</v>
      </c>
      <c r="M154">
        <v>-82.998490000000004</v>
      </c>
      <c r="N154">
        <v>18.158090000000001</v>
      </c>
      <c r="O154">
        <v>-4.57</v>
      </c>
      <c r="P154">
        <v>0</v>
      </c>
      <c r="Q154">
        <v>-118.6507</v>
      </c>
      <c r="R154">
        <v>-47.346310000000003</v>
      </c>
    </row>
    <row r="155" spans="1:18">
      <c r="A155">
        <v>153</v>
      </c>
      <c r="C155">
        <f t="shared" si="16"/>
        <v>-57.819980000000001</v>
      </c>
      <c r="D155">
        <f t="shared" si="16"/>
        <v>20.317820000000001</v>
      </c>
      <c r="E155">
        <f t="shared" si="16"/>
        <v>-2.85</v>
      </c>
      <c r="F155">
        <f t="shared" si="16"/>
        <v>5.0000000000000001E-3</v>
      </c>
      <c r="G155">
        <f t="shared" si="16"/>
        <v>-97.71266</v>
      </c>
      <c r="H155">
        <f t="shared" si="16"/>
        <v>-17.927299999999999</v>
      </c>
      <c r="L155">
        <v>156</v>
      </c>
      <c r="M155">
        <v>-60.468229999999998</v>
      </c>
      <c r="N155">
        <v>19.673290000000001</v>
      </c>
      <c r="O155">
        <v>-3.07</v>
      </c>
      <c r="P155">
        <v>2E-3</v>
      </c>
      <c r="Q155">
        <v>-99.095420000000004</v>
      </c>
      <c r="R155">
        <v>-21.84104</v>
      </c>
    </row>
    <row r="156" spans="1:18">
      <c r="A156">
        <v>154</v>
      </c>
      <c r="C156">
        <f t="shared" si="16"/>
        <v>-78.843559999999997</v>
      </c>
      <c r="D156">
        <f t="shared" si="16"/>
        <v>18.353549999999998</v>
      </c>
      <c r="E156">
        <f t="shared" si="16"/>
        <v>-4.3</v>
      </c>
      <c r="F156">
        <f t="shared" si="16"/>
        <v>0</v>
      </c>
      <c r="G156">
        <f t="shared" si="16"/>
        <v>-114.87949999999999</v>
      </c>
      <c r="H156">
        <f t="shared" si="16"/>
        <v>-42.807589999999998</v>
      </c>
      <c r="L156">
        <v>158</v>
      </c>
      <c r="M156" t="e">
        <f>NA()</f>
        <v>#N/A</v>
      </c>
      <c r="N156" t="e">
        <f>NA()</f>
        <v>#N/A</v>
      </c>
      <c r="O156" t="e">
        <f>NA()</f>
        <v>#N/A</v>
      </c>
      <c r="P156" t="e">
        <f>NA()</f>
        <v>#N/A</v>
      </c>
      <c r="Q156" t="e">
        <f>NA()</f>
        <v>#N/A</v>
      </c>
      <c r="R156" t="e">
        <f>NA()</f>
        <v>#N/A</v>
      </c>
    </row>
    <row r="157" spans="1:18">
      <c r="A157">
        <v>155</v>
      </c>
      <c r="C157">
        <f t="shared" si="16"/>
        <v>-82.998490000000004</v>
      </c>
      <c r="D157">
        <f t="shared" si="16"/>
        <v>18.158090000000001</v>
      </c>
      <c r="E157">
        <f t="shared" si="16"/>
        <v>-4.57</v>
      </c>
      <c r="F157">
        <f t="shared" si="16"/>
        <v>0</v>
      </c>
      <c r="G157">
        <f t="shared" si="16"/>
        <v>-118.6507</v>
      </c>
      <c r="H157">
        <f t="shared" si="16"/>
        <v>-47.346310000000003</v>
      </c>
      <c r="L157">
        <v>159</v>
      </c>
      <c r="M157">
        <v>-57.696429999999999</v>
      </c>
      <c r="N157">
        <v>18.425920000000001</v>
      </c>
      <c r="O157">
        <v>-3.13</v>
      </c>
      <c r="P157">
        <v>2E-3</v>
      </c>
      <c r="Q157">
        <v>-93.874499999999998</v>
      </c>
      <c r="R157">
        <v>-21.518360000000001</v>
      </c>
    </row>
    <row r="158" spans="1:18">
      <c r="A158">
        <v>156</v>
      </c>
      <c r="C158">
        <f t="shared" si="16"/>
        <v>-60.468229999999998</v>
      </c>
      <c r="D158">
        <f t="shared" si="16"/>
        <v>19.673290000000001</v>
      </c>
      <c r="E158">
        <f t="shared" si="16"/>
        <v>-3.07</v>
      </c>
      <c r="F158">
        <f t="shared" si="16"/>
        <v>2E-3</v>
      </c>
      <c r="G158">
        <f t="shared" si="16"/>
        <v>-99.095420000000004</v>
      </c>
      <c r="H158">
        <f t="shared" si="16"/>
        <v>-21.84104</v>
      </c>
      <c r="L158">
        <v>160</v>
      </c>
      <c r="M158">
        <v>-47.996420000000001</v>
      </c>
      <c r="N158">
        <v>20.310490000000001</v>
      </c>
      <c r="O158">
        <v>-2.36</v>
      </c>
      <c r="P158">
        <v>1.7999999999999999E-2</v>
      </c>
      <c r="Q158">
        <v>-87.874709999999993</v>
      </c>
      <c r="R158">
        <v>-8.1181280000000005</v>
      </c>
    </row>
    <row r="159" spans="1:18">
      <c r="A159">
        <v>157</v>
      </c>
      <c r="C159" t="e">
        <f t="shared" si="16"/>
        <v>#N/A</v>
      </c>
      <c r="D159" t="e">
        <f t="shared" si="16"/>
        <v>#N/A</v>
      </c>
      <c r="E159" t="e">
        <f t="shared" si="16"/>
        <v>#N/A</v>
      </c>
      <c r="F159" t="e">
        <f t="shared" si="16"/>
        <v>#N/A</v>
      </c>
      <c r="G159" t="e">
        <f t="shared" si="16"/>
        <v>#N/A</v>
      </c>
      <c r="H159" t="e">
        <f t="shared" si="16"/>
        <v>#N/A</v>
      </c>
      <c r="L159">
        <v>161</v>
      </c>
      <c r="M159" t="e">
        <f>NA()</f>
        <v>#N/A</v>
      </c>
      <c r="N159" t="e">
        <f>NA()</f>
        <v>#N/A</v>
      </c>
      <c r="O159" t="e">
        <f>NA()</f>
        <v>#N/A</v>
      </c>
      <c r="P159" t="e">
        <f>NA()</f>
        <v>#N/A</v>
      </c>
      <c r="Q159" t="e">
        <f>NA()</f>
        <v>#N/A</v>
      </c>
      <c r="R159" t="e">
        <f>NA()</f>
        <v>#N/A</v>
      </c>
    </row>
    <row r="160" spans="1:18">
      <c r="A160">
        <v>158</v>
      </c>
      <c r="C160" t="e">
        <f t="shared" si="16"/>
        <v>#N/A</v>
      </c>
      <c r="D160" t="e">
        <f t="shared" si="16"/>
        <v>#N/A</v>
      </c>
      <c r="E160" t="e">
        <f t="shared" si="16"/>
        <v>#N/A</v>
      </c>
      <c r="F160" t="e">
        <f t="shared" si="16"/>
        <v>#N/A</v>
      </c>
      <c r="G160" t="e">
        <f t="shared" si="16"/>
        <v>#N/A</v>
      </c>
      <c r="H160" t="e">
        <f t="shared" si="16"/>
        <v>#N/A</v>
      </c>
      <c r="L160">
        <v>162</v>
      </c>
      <c r="M160" t="e">
        <f>NA()</f>
        <v>#N/A</v>
      </c>
      <c r="N160" t="e">
        <f>NA()</f>
        <v>#N/A</v>
      </c>
      <c r="O160" t="e">
        <f>NA()</f>
        <v>#N/A</v>
      </c>
      <c r="P160" t="e">
        <f>NA()</f>
        <v>#N/A</v>
      </c>
      <c r="Q160" t="e">
        <f>NA()</f>
        <v>#N/A</v>
      </c>
      <c r="R160" t="e">
        <f>NA()</f>
        <v>#N/A</v>
      </c>
    </row>
    <row r="161" spans="1:18">
      <c r="A161">
        <v>159</v>
      </c>
      <c r="C161">
        <f t="shared" si="16"/>
        <v>-57.696429999999999</v>
      </c>
      <c r="D161">
        <f t="shared" si="16"/>
        <v>18.425920000000001</v>
      </c>
      <c r="E161">
        <f t="shared" si="16"/>
        <v>-3.13</v>
      </c>
      <c r="F161">
        <f t="shared" si="16"/>
        <v>2E-3</v>
      </c>
      <c r="G161">
        <f t="shared" si="16"/>
        <v>-93.874499999999998</v>
      </c>
      <c r="H161">
        <f t="shared" si="16"/>
        <v>-21.518360000000001</v>
      </c>
      <c r="L161">
        <v>163</v>
      </c>
      <c r="M161">
        <v>-37.228619999999999</v>
      </c>
      <c r="N161">
        <v>19.216709999999999</v>
      </c>
      <c r="O161">
        <v>-1.94</v>
      </c>
      <c r="P161">
        <v>5.2999999999999999E-2</v>
      </c>
      <c r="Q161">
        <v>-74.959350000000001</v>
      </c>
      <c r="R161">
        <v>0.50210560000000004</v>
      </c>
    </row>
    <row r="162" spans="1:18">
      <c r="A162">
        <v>160</v>
      </c>
      <c r="C162">
        <f t="shared" si="16"/>
        <v>-47.996420000000001</v>
      </c>
      <c r="D162">
        <f t="shared" si="16"/>
        <v>20.310490000000001</v>
      </c>
      <c r="E162">
        <f t="shared" si="16"/>
        <v>-2.36</v>
      </c>
      <c r="F162">
        <f t="shared" si="16"/>
        <v>1.7999999999999999E-2</v>
      </c>
      <c r="G162">
        <f t="shared" si="16"/>
        <v>-87.874709999999993</v>
      </c>
      <c r="H162">
        <f t="shared" si="16"/>
        <v>-8.1181280000000005</v>
      </c>
      <c r="L162">
        <v>164</v>
      </c>
      <c r="M162">
        <v>-54.185189999999999</v>
      </c>
      <c r="N162">
        <v>18.42971</v>
      </c>
      <c r="O162">
        <v>-2.94</v>
      </c>
      <c r="P162">
        <v>3.0000000000000001E-3</v>
      </c>
      <c r="Q162">
        <v>-90.370689999999996</v>
      </c>
      <c r="R162">
        <v>-17.999700000000001</v>
      </c>
    </row>
    <row r="163" spans="1:18">
      <c r="A163">
        <v>161</v>
      </c>
      <c r="C163" t="e">
        <f t="shared" ref="C163:H173" si="17">VLOOKUP($A163,CountryFEs,C$1,FALSE)</f>
        <v>#N/A</v>
      </c>
      <c r="D163" t="e">
        <f t="shared" si="17"/>
        <v>#N/A</v>
      </c>
      <c r="E163" t="e">
        <f t="shared" si="17"/>
        <v>#N/A</v>
      </c>
      <c r="F163" t="e">
        <f t="shared" si="17"/>
        <v>#N/A</v>
      </c>
      <c r="G163" t="e">
        <f t="shared" si="17"/>
        <v>#N/A</v>
      </c>
      <c r="H163" t="e">
        <f t="shared" si="17"/>
        <v>#N/A</v>
      </c>
      <c r="L163">
        <v>165</v>
      </c>
      <c r="M163" t="e">
        <f>NA()</f>
        <v>#N/A</v>
      </c>
      <c r="N163" t="e">
        <f>NA()</f>
        <v>#N/A</v>
      </c>
      <c r="O163" t="e">
        <f>NA()</f>
        <v>#N/A</v>
      </c>
      <c r="P163" t="e">
        <f>NA()</f>
        <v>#N/A</v>
      </c>
      <c r="Q163" t="e">
        <f>NA()</f>
        <v>#N/A</v>
      </c>
      <c r="R163" t="e">
        <f>NA()</f>
        <v>#N/A</v>
      </c>
    </row>
    <row r="164" spans="1:18">
      <c r="A164">
        <v>162</v>
      </c>
      <c r="C164" t="e">
        <f t="shared" si="17"/>
        <v>#N/A</v>
      </c>
      <c r="D164" t="e">
        <f t="shared" si="17"/>
        <v>#N/A</v>
      </c>
      <c r="E164" t="e">
        <f t="shared" si="17"/>
        <v>#N/A</v>
      </c>
      <c r="F164" t="e">
        <f t="shared" si="17"/>
        <v>#N/A</v>
      </c>
      <c r="G164" t="e">
        <f t="shared" si="17"/>
        <v>#N/A</v>
      </c>
      <c r="H164" t="e">
        <f t="shared" si="17"/>
        <v>#N/A</v>
      </c>
      <c r="L164">
        <v>166</v>
      </c>
      <c r="M164">
        <v>-44.611060000000002</v>
      </c>
      <c r="N164">
        <v>21.555350000000001</v>
      </c>
      <c r="O164">
        <v>-2.0699999999999998</v>
      </c>
      <c r="P164">
        <v>3.9E-2</v>
      </c>
      <c r="Q164">
        <v>-86.933549999999997</v>
      </c>
      <c r="R164">
        <v>-2.2885659999999999</v>
      </c>
    </row>
    <row r="165" spans="1:18">
      <c r="A165">
        <v>163</v>
      </c>
      <c r="C165">
        <f t="shared" si="17"/>
        <v>-37.228619999999999</v>
      </c>
      <c r="D165">
        <f t="shared" si="17"/>
        <v>19.216709999999999</v>
      </c>
      <c r="E165">
        <f t="shared" si="17"/>
        <v>-1.94</v>
      </c>
      <c r="F165">
        <f t="shared" si="17"/>
        <v>5.2999999999999999E-2</v>
      </c>
      <c r="G165">
        <f t="shared" si="17"/>
        <v>-74.959350000000001</v>
      </c>
      <c r="H165">
        <f t="shared" si="17"/>
        <v>0.50210560000000004</v>
      </c>
      <c r="L165">
        <v>167</v>
      </c>
      <c r="M165">
        <v>-56.183700000000002</v>
      </c>
      <c r="N165">
        <v>24.878309999999999</v>
      </c>
      <c r="O165">
        <v>-2.2599999999999998</v>
      </c>
      <c r="P165">
        <v>2.4E-2</v>
      </c>
      <c r="Q165">
        <v>-105.03060000000001</v>
      </c>
      <c r="R165">
        <v>-7.3367889999999996</v>
      </c>
    </row>
    <row r="166" spans="1:18">
      <c r="A166">
        <v>164</v>
      </c>
      <c r="C166">
        <f t="shared" si="17"/>
        <v>-54.185189999999999</v>
      </c>
      <c r="D166">
        <f t="shared" si="17"/>
        <v>18.42971</v>
      </c>
      <c r="E166">
        <f t="shared" si="17"/>
        <v>-2.94</v>
      </c>
      <c r="F166">
        <f t="shared" si="17"/>
        <v>3.0000000000000001E-3</v>
      </c>
      <c r="G166">
        <f t="shared" si="17"/>
        <v>-90.370689999999996</v>
      </c>
      <c r="H166">
        <f t="shared" si="17"/>
        <v>-17.999700000000001</v>
      </c>
      <c r="L166">
        <v>169</v>
      </c>
      <c r="M166" t="e">
        <f>NA()</f>
        <v>#N/A</v>
      </c>
      <c r="N166" t="e">
        <f>NA()</f>
        <v>#N/A</v>
      </c>
      <c r="O166" t="e">
        <f>NA()</f>
        <v>#N/A</v>
      </c>
      <c r="P166" t="e">
        <f>NA()</f>
        <v>#N/A</v>
      </c>
      <c r="Q166" t="e">
        <f>NA()</f>
        <v>#N/A</v>
      </c>
      <c r="R166" t="e">
        <f>NA()</f>
        <v>#N/A</v>
      </c>
    </row>
    <row r="167" spans="1:18">
      <c r="A167">
        <v>165</v>
      </c>
      <c r="C167" t="e">
        <f t="shared" si="17"/>
        <v>#N/A</v>
      </c>
      <c r="D167" t="e">
        <f t="shared" si="17"/>
        <v>#N/A</v>
      </c>
      <c r="E167" t="e">
        <f t="shared" si="17"/>
        <v>#N/A</v>
      </c>
      <c r="F167" t="e">
        <f t="shared" si="17"/>
        <v>#N/A</v>
      </c>
      <c r="G167" t="e">
        <f t="shared" si="17"/>
        <v>#N/A</v>
      </c>
      <c r="H167" t="e">
        <f t="shared" si="17"/>
        <v>#N/A</v>
      </c>
      <c r="L167">
        <v>170</v>
      </c>
      <c r="M167" t="e">
        <f>NA()</f>
        <v>#N/A</v>
      </c>
      <c r="N167" t="e">
        <f>NA()</f>
        <v>#N/A</v>
      </c>
      <c r="O167" t="e">
        <f>NA()</f>
        <v>#N/A</v>
      </c>
      <c r="P167" t="e">
        <f>NA()</f>
        <v>#N/A</v>
      </c>
      <c r="Q167" t="e">
        <f>NA()</f>
        <v>#N/A</v>
      </c>
      <c r="R167" t="e">
        <f>NA()</f>
        <v>#N/A</v>
      </c>
    </row>
    <row r="168" spans="1:18">
      <c r="A168">
        <v>166</v>
      </c>
      <c r="C168">
        <f t="shared" si="17"/>
        <v>-44.611060000000002</v>
      </c>
      <c r="D168">
        <f t="shared" si="17"/>
        <v>21.555350000000001</v>
      </c>
      <c r="E168">
        <f t="shared" si="17"/>
        <v>-2.0699999999999998</v>
      </c>
      <c r="F168">
        <f t="shared" si="17"/>
        <v>3.9E-2</v>
      </c>
      <c r="G168">
        <f t="shared" si="17"/>
        <v>-86.933549999999997</v>
      </c>
      <c r="H168">
        <f t="shared" si="17"/>
        <v>-2.2885659999999999</v>
      </c>
      <c r="L168">
        <v>171</v>
      </c>
      <c r="M168" t="e">
        <f>NA()</f>
        <v>#N/A</v>
      </c>
      <c r="N168" t="e">
        <f>NA()</f>
        <v>#N/A</v>
      </c>
      <c r="O168" t="e">
        <f>NA()</f>
        <v>#N/A</v>
      </c>
      <c r="P168" t="e">
        <f>NA()</f>
        <v>#N/A</v>
      </c>
      <c r="Q168" t="e">
        <f>NA()</f>
        <v>#N/A</v>
      </c>
      <c r="R168" t="e">
        <f>NA()</f>
        <v>#N/A</v>
      </c>
    </row>
    <row r="169" spans="1:18">
      <c r="A169">
        <v>167</v>
      </c>
      <c r="C169">
        <f t="shared" si="17"/>
        <v>-56.183700000000002</v>
      </c>
      <c r="D169">
        <f t="shared" si="17"/>
        <v>24.878309999999999</v>
      </c>
      <c r="E169">
        <f t="shared" si="17"/>
        <v>-2.2599999999999998</v>
      </c>
      <c r="F169">
        <f t="shared" si="17"/>
        <v>2.4E-2</v>
      </c>
      <c r="G169">
        <f t="shared" si="17"/>
        <v>-105.03060000000001</v>
      </c>
      <c r="H169">
        <f t="shared" si="17"/>
        <v>-7.3367889999999996</v>
      </c>
    </row>
    <row r="170" spans="1:18">
      <c r="A170">
        <v>168</v>
      </c>
      <c r="C170" t="e">
        <f t="shared" si="17"/>
        <v>#N/A</v>
      </c>
      <c r="D170" t="e">
        <f t="shared" si="17"/>
        <v>#N/A</v>
      </c>
      <c r="E170" t="e">
        <f t="shared" si="17"/>
        <v>#N/A</v>
      </c>
      <c r="F170" t="e">
        <f t="shared" si="17"/>
        <v>#N/A</v>
      </c>
      <c r="G170" t="e">
        <f t="shared" si="17"/>
        <v>#N/A</v>
      </c>
      <c r="H170" t="e">
        <f t="shared" si="17"/>
        <v>#N/A</v>
      </c>
    </row>
    <row r="171" spans="1:18">
      <c r="A171">
        <v>169</v>
      </c>
      <c r="C171" t="e">
        <f t="shared" si="17"/>
        <v>#N/A</v>
      </c>
      <c r="D171" t="e">
        <f t="shared" si="17"/>
        <v>#N/A</v>
      </c>
      <c r="E171" t="e">
        <f t="shared" si="17"/>
        <v>#N/A</v>
      </c>
      <c r="F171" t="e">
        <f t="shared" si="17"/>
        <v>#N/A</v>
      </c>
      <c r="G171" t="e">
        <f t="shared" si="17"/>
        <v>#N/A</v>
      </c>
      <c r="H171" t="e">
        <f t="shared" si="17"/>
        <v>#N/A</v>
      </c>
    </row>
    <row r="172" spans="1:18">
      <c r="A172">
        <v>170</v>
      </c>
      <c r="C172" t="e">
        <f t="shared" si="17"/>
        <v>#N/A</v>
      </c>
      <c r="D172" t="e">
        <f t="shared" si="17"/>
        <v>#N/A</v>
      </c>
      <c r="E172" t="e">
        <f t="shared" si="17"/>
        <v>#N/A</v>
      </c>
      <c r="F172" t="e">
        <f t="shared" si="17"/>
        <v>#N/A</v>
      </c>
      <c r="G172" t="e">
        <f t="shared" si="17"/>
        <v>#N/A</v>
      </c>
      <c r="H172" t="e">
        <f t="shared" si="17"/>
        <v>#N/A</v>
      </c>
    </row>
    <row r="173" spans="1:18">
      <c r="A173">
        <v>171</v>
      </c>
      <c r="C173" t="e">
        <f t="shared" si="17"/>
        <v>#N/A</v>
      </c>
      <c r="D173" t="e">
        <f t="shared" si="17"/>
        <v>#N/A</v>
      </c>
      <c r="E173" t="e">
        <f t="shared" si="17"/>
        <v>#N/A</v>
      </c>
      <c r="F173" t="e">
        <f t="shared" si="17"/>
        <v>#N/A</v>
      </c>
      <c r="G173" t="e">
        <f t="shared" si="17"/>
        <v>#N/A</v>
      </c>
      <c r="H173" t="e">
        <f t="shared" si="17"/>
        <v>#N/A</v>
      </c>
    </row>
  </sheetData>
  <phoneticPr fontId="1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8" enableFormatConditionsCalculation="0">
    <tabColor indexed="8"/>
  </sheetPr>
  <dimension ref="A1:I35"/>
  <sheetViews>
    <sheetView workbookViewId="0">
      <selection activeCell="M18" sqref="M18"/>
    </sheetView>
  </sheetViews>
  <sheetFormatPr defaultRowHeight="12.75"/>
  <cols>
    <col min="1" max="1" width="6.85546875" style="3" customWidth="1"/>
    <col min="2" max="2" width="13.7109375" customWidth="1"/>
  </cols>
  <sheetData>
    <row r="1" spans="1:5">
      <c r="A1" s="11" t="s">
        <v>173</v>
      </c>
      <c r="B1" s="1" t="s">
        <v>174</v>
      </c>
      <c r="C1" s="10" t="s">
        <v>719</v>
      </c>
      <c r="D1" s="10" t="s">
        <v>718</v>
      </c>
      <c r="E1" s="10" t="s">
        <v>250</v>
      </c>
    </row>
    <row r="2" spans="1:5">
      <c r="A2" s="12">
        <v>1</v>
      </c>
      <c r="B2" t="s">
        <v>180</v>
      </c>
      <c r="C2">
        <v>8</v>
      </c>
      <c r="D2">
        <v>65</v>
      </c>
      <c r="E2">
        <v>73</v>
      </c>
    </row>
    <row r="3" spans="1:5">
      <c r="A3" s="12">
        <v>2</v>
      </c>
      <c r="B3" t="s">
        <v>187</v>
      </c>
      <c r="C3">
        <v>0</v>
      </c>
      <c r="D3">
        <v>70</v>
      </c>
      <c r="E3">
        <v>70</v>
      </c>
    </row>
    <row r="4" spans="1:5">
      <c r="A4" s="12">
        <v>3</v>
      </c>
      <c r="B4" t="s">
        <v>186</v>
      </c>
      <c r="C4">
        <v>0</v>
      </c>
      <c r="D4">
        <v>94</v>
      </c>
      <c r="E4">
        <v>94</v>
      </c>
    </row>
    <row r="5" spans="1:5">
      <c r="A5" s="12">
        <v>4</v>
      </c>
      <c r="B5" t="s">
        <v>181</v>
      </c>
      <c r="C5">
        <v>6</v>
      </c>
      <c r="D5">
        <v>52</v>
      </c>
      <c r="E5">
        <v>58</v>
      </c>
    </row>
    <row r="6" spans="1:5">
      <c r="A6" s="12">
        <v>5</v>
      </c>
      <c r="B6" t="s">
        <v>247</v>
      </c>
      <c r="C6">
        <v>7</v>
      </c>
      <c r="D6">
        <v>32</v>
      </c>
      <c r="E6">
        <v>39</v>
      </c>
    </row>
    <row r="7" spans="1:5">
      <c r="A7" s="12">
        <v>6</v>
      </c>
      <c r="B7" t="s">
        <v>248</v>
      </c>
      <c r="C7">
        <v>0</v>
      </c>
      <c r="D7">
        <v>42</v>
      </c>
      <c r="E7">
        <v>42</v>
      </c>
    </row>
    <row r="8" spans="1:5">
      <c r="A8" s="12">
        <v>7</v>
      </c>
      <c r="B8" t="s">
        <v>249</v>
      </c>
      <c r="C8">
        <v>20</v>
      </c>
      <c r="D8">
        <v>40</v>
      </c>
      <c r="E8">
        <v>60</v>
      </c>
    </row>
    <row r="9" spans="1:5">
      <c r="A9" s="12">
        <v>8</v>
      </c>
      <c r="B9" t="s">
        <v>183</v>
      </c>
      <c r="C9">
        <v>13</v>
      </c>
      <c r="D9">
        <v>31</v>
      </c>
      <c r="E9">
        <v>44</v>
      </c>
    </row>
    <row r="10" spans="1:5">
      <c r="A10" s="12">
        <v>9</v>
      </c>
      <c r="B10" t="s">
        <v>182</v>
      </c>
      <c r="C10">
        <v>2</v>
      </c>
      <c r="D10">
        <v>62</v>
      </c>
      <c r="E10">
        <v>64</v>
      </c>
    </row>
    <row r="11" spans="1:5">
      <c r="A11" s="12">
        <v>10</v>
      </c>
      <c r="B11" t="s">
        <v>243</v>
      </c>
      <c r="C11">
        <v>0</v>
      </c>
      <c r="D11">
        <v>30</v>
      </c>
      <c r="E11">
        <v>30</v>
      </c>
    </row>
    <row r="12" spans="1:5">
      <c r="A12" s="12">
        <v>11</v>
      </c>
      <c r="B12" t="s">
        <v>713</v>
      </c>
      <c r="C12">
        <v>0</v>
      </c>
      <c r="D12">
        <v>50</v>
      </c>
      <c r="E12">
        <v>50</v>
      </c>
    </row>
    <row r="13" spans="1:5">
      <c r="A13" s="12">
        <v>12</v>
      </c>
      <c r="B13" t="s">
        <v>216</v>
      </c>
      <c r="C13">
        <v>0</v>
      </c>
      <c r="D13">
        <v>83</v>
      </c>
      <c r="E13">
        <v>83</v>
      </c>
    </row>
    <row r="14" spans="1:5">
      <c r="A14" s="12">
        <v>13</v>
      </c>
      <c r="B14" t="s">
        <v>184</v>
      </c>
      <c r="C14">
        <v>0</v>
      </c>
      <c r="D14">
        <v>60</v>
      </c>
      <c r="E14">
        <v>60</v>
      </c>
    </row>
    <row r="15" spans="1:5">
      <c r="A15" s="12">
        <v>14</v>
      </c>
      <c r="B15" t="s">
        <v>245</v>
      </c>
      <c r="C15">
        <v>0</v>
      </c>
      <c r="D15">
        <v>12</v>
      </c>
      <c r="E15">
        <v>12</v>
      </c>
    </row>
    <row r="16" spans="1:5">
      <c r="A16" s="12">
        <v>15</v>
      </c>
      <c r="B16" t="s">
        <v>246</v>
      </c>
      <c r="C16">
        <v>0</v>
      </c>
      <c r="D16">
        <v>51</v>
      </c>
      <c r="E16">
        <v>51</v>
      </c>
    </row>
    <row r="17" spans="1:9">
      <c r="A17" s="12">
        <v>16</v>
      </c>
      <c r="B17" t="s">
        <v>250</v>
      </c>
      <c r="C17">
        <v>56</v>
      </c>
      <c r="D17">
        <v>774</v>
      </c>
      <c r="E17">
        <v>830</v>
      </c>
    </row>
    <row r="19" spans="1:9">
      <c r="A19" s="11" t="s">
        <v>173</v>
      </c>
      <c r="B19" s="13" t="s">
        <v>226</v>
      </c>
      <c r="C19" s="1" t="s">
        <v>236</v>
      </c>
      <c r="D19" s="1" t="s">
        <v>237</v>
      </c>
      <c r="E19" s="1" t="s">
        <v>238</v>
      </c>
      <c r="F19" s="1" t="s">
        <v>239</v>
      </c>
      <c r="G19" s="1" t="s">
        <v>240</v>
      </c>
      <c r="H19" s="1" t="s">
        <v>241</v>
      </c>
      <c r="I19" s="1" t="s">
        <v>242</v>
      </c>
    </row>
    <row r="20" spans="1:9">
      <c r="A20" s="12">
        <v>1</v>
      </c>
      <c r="B20" t="s">
        <v>180</v>
      </c>
      <c r="C20">
        <v>0.66937570000000002</v>
      </c>
      <c r="D20">
        <v>0.23767959999999999</v>
      </c>
      <c r="E20">
        <v>2.6273999999999999E-2</v>
      </c>
      <c r="F20">
        <v>0.34723310000000002</v>
      </c>
      <c r="G20">
        <v>0.72698079999999998</v>
      </c>
      <c r="H20">
        <v>0.92140200000000005</v>
      </c>
      <c r="I20">
        <v>0.96567950000000002</v>
      </c>
    </row>
    <row r="21" spans="1:9">
      <c r="A21" s="12">
        <v>2</v>
      </c>
      <c r="B21" t="s">
        <v>187</v>
      </c>
      <c r="C21">
        <v>0.92268680000000003</v>
      </c>
      <c r="D21">
        <v>6.8354200000000004E-2</v>
      </c>
      <c r="E21">
        <v>0.66947049999999997</v>
      </c>
      <c r="F21">
        <v>0.84128360000000002</v>
      </c>
      <c r="G21">
        <v>0.94113389999999997</v>
      </c>
      <c r="H21">
        <v>0.98619440000000003</v>
      </c>
      <c r="I21">
        <v>0.99408410000000003</v>
      </c>
    </row>
    <row r="22" spans="1:9">
      <c r="A22" s="12">
        <v>3</v>
      </c>
      <c r="B22" t="s">
        <v>186</v>
      </c>
      <c r="C22">
        <v>0.91312519999999997</v>
      </c>
      <c r="D22">
        <v>0.1052429</v>
      </c>
      <c r="E22">
        <v>0.4846338</v>
      </c>
      <c r="F22">
        <v>0.76435410000000004</v>
      </c>
      <c r="G22">
        <v>0.95737930000000004</v>
      </c>
      <c r="H22">
        <v>0.98722030000000005</v>
      </c>
      <c r="I22">
        <v>0.99392270000000005</v>
      </c>
    </row>
    <row r="23" spans="1:9">
      <c r="A23" s="12">
        <v>4</v>
      </c>
      <c r="B23" t="s">
        <v>181</v>
      </c>
      <c r="C23">
        <v>0.66279429999999995</v>
      </c>
      <c r="D23">
        <v>0.24588080000000001</v>
      </c>
      <c r="E23">
        <v>4.6951800000000002E-2</v>
      </c>
      <c r="F23">
        <v>0.30157430000000002</v>
      </c>
      <c r="G23">
        <v>0.70005969999999995</v>
      </c>
      <c r="H23">
        <v>0.92232000000000003</v>
      </c>
      <c r="I23">
        <v>0.94729399999999997</v>
      </c>
    </row>
    <row r="24" spans="1:9">
      <c r="A24" s="12">
        <v>5</v>
      </c>
      <c r="B24" t="s">
        <v>247</v>
      </c>
      <c r="C24">
        <v>0.64281379999999999</v>
      </c>
      <c r="D24">
        <v>0.27471020000000002</v>
      </c>
      <c r="E24">
        <v>2.8015000000000002E-2</v>
      </c>
      <c r="F24">
        <v>0.18575069999999999</v>
      </c>
      <c r="G24">
        <v>0.73895330000000004</v>
      </c>
      <c r="H24">
        <v>0.91244910000000001</v>
      </c>
      <c r="I24">
        <v>0.93259590000000003</v>
      </c>
    </row>
    <row r="25" spans="1:9">
      <c r="A25" s="12">
        <v>6</v>
      </c>
      <c r="B25" t="s">
        <v>248</v>
      </c>
      <c r="C25">
        <v>0.80205009999999999</v>
      </c>
      <c r="D25">
        <v>0.1428807</v>
      </c>
      <c r="E25">
        <v>0.4056305</v>
      </c>
      <c r="F25">
        <v>0.63872790000000002</v>
      </c>
      <c r="G25">
        <v>0.85373710000000003</v>
      </c>
      <c r="H25">
        <v>0.96178240000000004</v>
      </c>
      <c r="I25">
        <v>0.97359790000000002</v>
      </c>
    </row>
    <row r="26" spans="1:9">
      <c r="A26" s="12">
        <v>7</v>
      </c>
      <c r="B26" t="s">
        <v>249</v>
      </c>
      <c r="C26">
        <v>0.50887649999999995</v>
      </c>
      <c r="D26">
        <v>0.21134149999999999</v>
      </c>
      <c r="E26">
        <v>7.3477500000000001E-2</v>
      </c>
      <c r="F26">
        <v>0.2098768</v>
      </c>
      <c r="G26">
        <v>0.50226349999999997</v>
      </c>
      <c r="H26">
        <v>0.82218820000000004</v>
      </c>
      <c r="I26">
        <v>0.87580440000000004</v>
      </c>
    </row>
    <row r="27" spans="1:9">
      <c r="A27" s="12">
        <v>8</v>
      </c>
      <c r="B27" t="s">
        <v>183</v>
      </c>
      <c r="C27">
        <v>0.59713959999999999</v>
      </c>
      <c r="D27">
        <v>0.21900339999999999</v>
      </c>
      <c r="E27">
        <v>4.7712900000000003E-2</v>
      </c>
      <c r="F27">
        <v>0.3330128</v>
      </c>
      <c r="G27">
        <v>0.66579900000000003</v>
      </c>
      <c r="H27">
        <v>0.79718639999999996</v>
      </c>
      <c r="I27">
        <v>0.90578530000000002</v>
      </c>
    </row>
    <row r="28" spans="1:9">
      <c r="A28" s="12">
        <v>9</v>
      </c>
      <c r="B28" t="s">
        <v>182</v>
      </c>
      <c r="C28">
        <v>0.84713559999999999</v>
      </c>
      <c r="D28">
        <v>0.13321569999999999</v>
      </c>
      <c r="E28">
        <v>0.4168714</v>
      </c>
      <c r="F28">
        <v>0.68332099999999996</v>
      </c>
      <c r="G28">
        <v>0.89946910000000002</v>
      </c>
      <c r="H28">
        <v>0.95610209999999995</v>
      </c>
      <c r="I28">
        <v>0.97290580000000004</v>
      </c>
    </row>
    <row r="29" spans="1:9">
      <c r="A29" s="12">
        <v>10</v>
      </c>
      <c r="B29" t="s">
        <v>243</v>
      </c>
      <c r="C29">
        <v>0.87574350000000001</v>
      </c>
      <c r="D29">
        <v>9.2248300000000005E-2</v>
      </c>
      <c r="E29">
        <v>0.54322709999999996</v>
      </c>
      <c r="F29">
        <v>0.77759699999999998</v>
      </c>
      <c r="G29">
        <v>0.90243340000000005</v>
      </c>
      <c r="H29">
        <v>0.96025700000000003</v>
      </c>
      <c r="I29">
        <v>0.97015090000000004</v>
      </c>
    </row>
    <row r="30" spans="1:9">
      <c r="A30" s="12">
        <v>11</v>
      </c>
      <c r="B30" t="s">
        <v>244</v>
      </c>
      <c r="C30">
        <v>0.89822190000000002</v>
      </c>
      <c r="D30">
        <v>6.9983900000000002E-2</v>
      </c>
      <c r="E30">
        <v>0.60853239999999997</v>
      </c>
      <c r="F30">
        <v>0.81724669999999999</v>
      </c>
      <c r="G30">
        <v>0.91848249999999998</v>
      </c>
      <c r="H30">
        <v>0.96692480000000003</v>
      </c>
      <c r="I30">
        <v>0.98228479999999996</v>
      </c>
    </row>
    <row r="31" spans="1:9">
      <c r="A31" s="12">
        <v>12</v>
      </c>
      <c r="B31" t="s">
        <v>216</v>
      </c>
      <c r="C31">
        <v>0.90372430000000004</v>
      </c>
      <c r="D31">
        <v>7.1557899999999994E-2</v>
      </c>
      <c r="E31">
        <v>0.63631159999999998</v>
      </c>
      <c r="F31">
        <v>0.81620300000000001</v>
      </c>
      <c r="G31">
        <v>0.91414890000000004</v>
      </c>
      <c r="H31">
        <v>0.97610629999999998</v>
      </c>
      <c r="I31">
        <v>0.99822679999999997</v>
      </c>
    </row>
    <row r="32" spans="1:9">
      <c r="A32" s="12">
        <v>13</v>
      </c>
      <c r="B32" t="s">
        <v>184</v>
      </c>
      <c r="C32">
        <v>0.9409904</v>
      </c>
      <c r="D32">
        <v>5.1032300000000003E-2</v>
      </c>
      <c r="E32">
        <v>0.79006200000000004</v>
      </c>
      <c r="F32">
        <v>0.86877990000000005</v>
      </c>
      <c r="G32">
        <v>0.95713199999999998</v>
      </c>
      <c r="H32">
        <v>0.98882380000000003</v>
      </c>
      <c r="I32">
        <v>0.99380040000000003</v>
      </c>
    </row>
    <row r="33" spans="1:9">
      <c r="A33" s="12">
        <v>14</v>
      </c>
      <c r="B33" t="s">
        <v>245</v>
      </c>
      <c r="C33">
        <v>0.946739</v>
      </c>
      <c r="D33">
        <v>4.7867199999999999E-2</v>
      </c>
      <c r="E33">
        <v>0.81517589999999995</v>
      </c>
      <c r="F33">
        <v>0.90732170000000001</v>
      </c>
      <c r="G33">
        <v>0.95980949999999998</v>
      </c>
      <c r="H33">
        <v>0.98867419999999995</v>
      </c>
      <c r="I33">
        <v>0.99338499999999996</v>
      </c>
    </row>
    <row r="34" spans="1:9">
      <c r="A34" s="12">
        <v>15</v>
      </c>
      <c r="B34" t="s">
        <v>246</v>
      </c>
      <c r="C34">
        <v>0.7750127</v>
      </c>
      <c r="D34">
        <v>0.19219259999999999</v>
      </c>
      <c r="E34">
        <v>3.5162899999999997E-2</v>
      </c>
      <c r="F34">
        <v>0.58719739999999998</v>
      </c>
      <c r="G34">
        <v>0.83441339999999997</v>
      </c>
      <c r="H34">
        <v>0.93398999999999999</v>
      </c>
      <c r="I34">
        <v>0.94515400000000005</v>
      </c>
    </row>
    <row r="35" spans="1:9">
      <c r="A35" s="12">
        <v>16</v>
      </c>
      <c r="B35" t="s">
        <v>250</v>
      </c>
      <c r="C35">
        <v>0.81082679999999996</v>
      </c>
      <c r="D35">
        <v>0.20123199999999999</v>
      </c>
      <c r="E35">
        <v>9.8615900000000006E-2</v>
      </c>
      <c r="F35">
        <v>0.50913489999999995</v>
      </c>
      <c r="G35">
        <v>0.88932129999999998</v>
      </c>
      <c r="H35">
        <v>0.97469410000000001</v>
      </c>
      <c r="I35">
        <v>0.99338159999999998</v>
      </c>
    </row>
  </sheetData>
  <sortState ref="A20:I35">
    <sortCondition ref="A20:A35"/>
  </sortState>
  <phoneticPr fontId="1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2">
    <tabColor indexed="8"/>
  </sheetPr>
  <dimension ref="A2:J36"/>
  <sheetViews>
    <sheetView topLeftCell="A27" workbookViewId="0">
      <selection activeCell="C49" sqref="C49"/>
    </sheetView>
  </sheetViews>
  <sheetFormatPr defaultRowHeight="12.75"/>
  <sheetData>
    <row r="2" spans="1:10">
      <c r="A2" t="s">
        <v>750</v>
      </c>
      <c r="B2" s="11" t="s">
        <v>173</v>
      </c>
      <c r="C2" t="s">
        <v>753</v>
      </c>
      <c r="D2" t="s">
        <v>754</v>
      </c>
      <c r="E2" t="s">
        <v>755</v>
      </c>
      <c r="F2" t="s">
        <v>756</v>
      </c>
      <c r="G2" t="s">
        <v>757</v>
      </c>
      <c r="H2" t="s">
        <v>758</v>
      </c>
      <c r="J2" t="s">
        <v>759</v>
      </c>
    </row>
    <row r="3" spans="1:10">
      <c r="A3" t="s">
        <v>180</v>
      </c>
      <c r="B3" s="12">
        <v>1</v>
      </c>
      <c r="C3">
        <v>111</v>
      </c>
      <c r="D3">
        <v>73</v>
      </c>
      <c r="E3">
        <v>55</v>
      </c>
      <c r="F3">
        <v>23</v>
      </c>
      <c r="G3">
        <v>50</v>
      </c>
      <c r="H3">
        <v>15</v>
      </c>
      <c r="J3">
        <f t="shared" ref="J3:J18" si="0">E3/D3</f>
        <v>0.75342465753424659</v>
      </c>
    </row>
    <row r="4" spans="1:10">
      <c r="A4" t="s">
        <v>187</v>
      </c>
      <c r="B4" s="12">
        <v>2</v>
      </c>
      <c r="C4">
        <v>59</v>
      </c>
      <c r="D4">
        <v>70</v>
      </c>
      <c r="E4">
        <v>41</v>
      </c>
      <c r="F4">
        <v>43</v>
      </c>
      <c r="G4">
        <v>27</v>
      </c>
      <c r="H4">
        <v>1</v>
      </c>
      <c r="J4">
        <f t="shared" si="0"/>
        <v>0.58571428571428574</v>
      </c>
    </row>
    <row r="5" spans="1:10">
      <c r="A5" t="s">
        <v>186</v>
      </c>
      <c r="B5" s="12">
        <v>3</v>
      </c>
      <c r="C5">
        <v>119</v>
      </c>
      <c r="D5">
        <v>94</v>
      </c>
      <c r="E5">
        <v>39</v>
      </c>
      <c r="F5">
        <v>62</v>
      </c>
      <c r="G5">
        <v>32</v>
      </c>
      <c r="H5">
        <v>22</v>
      </c>
      <c r="J5">
        <f t="shared" si="0"/>
        <v>0.41489361702127658</v>
      </c>
    </row>
    <row r="6" spans="1:10">
      <c r="A6" t="s">
        <v>181</v>
      </c>
      <c r="B6" s="12">
        <v>4</v>
      </c>
      <c r="C6">
        <v>108</v>
      </c>
      <c r="D6">
        <v>58</v>
      </c>
      <c r="E6">
        <v>47</v>
      </c>
      <c r="F6">
        <v>18</v>
      </c>
      <c r="G6">
        <v>40</v>
      </c>
      <c r="H6">
        <v>11</v>
      </c>
      <c r="J6">
        <f t="shared" si="0"/>
        <v>0.81034482758620685</v>
      </c>
    </row>
    <row r="7" spans="1:10">
      <c r="A7" t="s">
        <v>247</v>
      </c>
      <c r="B7" s="12">
        <v>5</v>
      </c>
      <c r="C7">
        <v>46</v>
      </c>
      <c r="D7">
        <v>39</v>
      </c>
      <c r="E7">
        <v>28</v>
      </c>
      <c r="F7">
        <v>24</v>
      </c>
      <c r="G7">
        <v>15</v>
      </c>
      <c r="H7">
        <v>2</v>
      </c>
      <c r="J7">
        <f t="shared" si="0"/>
        <v>0.71794871794871795</v>
      </c>
    </row>
    <row r="8" spans="1:10">
      <c r="A8" t="s">
        <v>248</v>
      </c>
      <c r="B8" s="12">
        <v>6</v>
      </c>
      <c r="C8">
        <v>84</v>
      </c>
      <c r="D8">
        <v>42</v>
      </c>
      <c r="E8">
        <v>26</v>
      </c>
      <c r="F8">
        <v>20</v>
      </c>
      <c r="G8">
        <v>22</v>
      </c>
      <c r="H8">
        <v>4</v>
      </c>
      <c r="J8">
        <f t="shared" si="0"/>
        <v>0.61904761904761907</v>
      </c>
    </row>
    <row r="9" spans="1:10">
      <c r="A9" t="s">
        <v>249</v>
      </c>
      <c r="B9" s="12">
        <v>7</v>
      </c>
      <c r="C9">
        <v>80</v>
      </c>
      <c r="D9">
        <v>60</v>
      </c>
      <c r="E9">
        <v>40</v>
      </c>
      <c r="F9">
        <v>19</v>
      </c>
      <c r="G9">
        <v>41</v>
      </c>
      <c r="H9">
        <v>4</v>
      </c>
      <c r="J9">
        <f t="shared" si="0"/>
        <v>0.66666666666666663</v>
      </c>
    </row>
    <row r="10" spans="1:10">
      <c r="A10" t="s">
        <v>183</v>
      </c>
      <c r="B10" s="12">
        <v>8</v>
      </c>
      <c r="C10">
        <v>66</v>
      </c>
      <c r="D10">
        <v>44</v>
      </c>
      <c r="E10">
        <v>26</v>
      </c>
      <c r="F10">
        <v>21</v>
      </c>
      <c r="G10">
        <v>23</v>
      </c>
      <c r="H10">
        <v>3</v>
      </c>
      <c r="J10">
        <f t="shared" si="0"/>
        <v>0.59090909090909094</v>
      </c>
    </row>
    <row r="11" spans="1:10">
      <c r="A11" t="s">
        <v>182</v>
      </c>
      <c r="B11" s="12">
        <v>9</v>
      </c>
      <c r="C11">
        <v>141</v>
      </c>
      <c r="D11">
        <v>64</v>
      </c>
      <c r="E11">
        <v>51</v>
      </c>
      <c r="F11">
        <v>16</v>
      </c>
      <c r="G11">
        <v>48</v>
      </c>
      <c r="H11">
        <v>23</v>
      </c>
      <c r="J11">
        <f t="shared" si="0"/>
        <v>0.796875</v>
      </c>
    </row>
    <row r="12" spans="1:10">
      <c r="A12" t="s">
        <v>243</v>
      </c>
      <c r="B12" s="12">
        <v>10</v>
      </c>
      <c r="C12">
        <v>94</v>
      </c>
      <c r="D12">
        <v>30</v>
      </c>
      <c r="E12">
        <v>23</v>
      </c>
      <c r="F12">
        <v>23</v>
      </c>
      <c r="G12">
        <v>7</v>
      </c>
      <c r="H12">
        <v>4</v>
      </c>
      <c r="J12">
        <f t="shared" si="0"/>
        <v>0.76666666666666672</v>
      </c>
    </row>
    <row r="13" spans="1:10">
      <c r="A13" t="s">
        <v>713</v>
      </c>
      <c r="B13" s="12">
        <v>11</v>
      </c>
      <c r="C13">
        <v>97</v>
      </c>
      <c r="D13">
        <v>50</v>
      </c>
      <c r="E13">
        <v>33</v>
      </c>
      <c r="F13">
        <v>37</v>
      </c>
      <c r="G13">
        <v>13</v>
      </c>
      <c r="H13">
        <v>2</v>
      </c>
      <c r="J13">
        <f t="shared" si="0"/>
        <v>0.66</v>
      </c>
    </row>
    <row r="14" spans="1:10">
      <c r="A14" t="s">
        <v>216</v>
      </c>
      <c r="B14" s="12">
        <v>12</v>
      </c>
      <c r="C14">
        <v>59</v>
      </c>
      <c r="D14">
        <v>83</v>
      </c>
      <c r="E14">
        <v>56</v>
      </c>
      <c r="F14">
        <v>43</v>
      </c>
      <c r="G14">
        <v>40</v>
      </c>
      <c r="H14">
        <v>0</v>
      </c>
      <c r="J14">
        <f t="shared" si="0"/>
        <v>0.67469879518072284</v>
      </c>
    </row>
    <row r="15" spans="1:10">
      <c r="A15" t="s">
        <v>184</v>
      </c>
      <c r="B15" s="12">
        <v>13</v>
      </c>
      <c r="C15">
        <v>36</v>
      </c>
      <c r="D15">
        <v>60</v>
      </c>
      <c r="E15">
        <v>60</v>
      </c>
      <c r="F15">
        <v>43</v>
      </c>
      <c r="G15">
        <v>17</v>
      </c>
      <c r="H15">
        <v>0</v>
      </c>
      <c r="J15">
        <f t="shared" si="0"/>
        <v>1</v>
      </c>
    </row>
    <row r="16" spans="1:10">
      <c r="A16" t="s">
        <v>245</v>
      </c>
      <c r="B16" s="12">
        <v>14</v>
      </c>
      <c r="C16">
        <v>10</v>
      </c>
      <c r="D16">
        <v>12</v>
      </c>
      <c r="E16">
        <v>11</v>
      </c>
      <c r="F16">
        <v>8</v>
      </c>
      <c r="G16">
        <v>4</v>
      </c>
      <c r="H16">
        <v>0</v>
      </c>
      <c r="J16">
        <f t="shared" si="0"/>
        <v>0.91666666666666663</v>
      </c>
    </row>
    <row r="17" spans="1:10">
      <c r="A17" t="s">
        <v>246</v>
      </c>
      <c r="B17" s="12">
        <v>15</v>
      </c>
      <c r="C17">
        <v>61</v>
      </c>
      <c r="D17">
        <v>51</v>
      </c>
      <c r="E17">
        <v>33</v>
      </c>
      <c r="F17">
        <v>31</v>
      </c>
      <c r="G17">
        <v>20</v>
      </c>
      <c r="H17">
        <v>1</v>
      </c>
      <c r="J17">
        <f t="shared" si="0"/>
        <v>0.6470588235294118</v>
      </c>
    </row>
    <row r="18" spans="1:10">
      <c r="A18" t="s">
        <v>250</v>
      </c>
      <c r="B18" s="12">
        <v>16</v>
      </c>
      <c r="C18">
        <v>1171</v>
      </c>
      <c r="D18">
        <v>830</v>
      </c>
      <c r="E18">
        <v>569</v>
      </c>
      <c r="F18">
        <v>431</v>
      </c>
      <c r="G18">
        <v>399</v>
      </c>
      <c r="H18">
        <v>92</v>
      </c>
      <c r="J18">
        <f t="shared" si="0"/>
        <v>0.68554216867469875</v>
      </c>
    </row>
    <row r="20" spans="1:10">
      <c r="A20" t="s">
        <v>750</v>
      </c>
      <c r="B20" s="11" t="s">
        <v>173</v>
      </c>
      <c r="C20" t="s">
        <v>751</v>
      </c>
      <c r="D20" t="s">
        <v>752</v>
      </c>
    </row>
    <row r="21" spans="1:10">
      <c r="A21" t="s">
        <v>180</v>
      </c>
      <c r="B21" s="12">
        <v>1</v>
      </c>
      <c r="C21">
        <v>0.81815930000000003</v>
      </c>
      <c r="D21">
        <v>0.97644280000000006</v>
      </c>
    </row>
    <row r="22" spans="1:10">
      <c r="A22" t="s">
        <v>187</v>
      </c>
      <c r="B22" s="12">
        <v>2</v>
      </c>
      <c r="C22">
        <v>0.40871200000000002</v>
      </c>
      <c r="D22">
        <v>0.97644280000000006</v>
      </c>
    </row>
    <row r="23" spans="1:10">
      <c r="A23" t="s">
        <v>186</v>
      </c>
      <c r="B23" s="12">
        <v>3</v>
      </c>
      <c r="C23">
        <v>0.90871049999999998</v>
      </c>
      <c r="D23">
        <v>0.97644280000000006</v>
      </c>
    </row>
    <row r="24" spans="1:10">
      <c r="A24" t="s">
        <v>181</v>
      </c>
      <c r="B24" s="12">
        <v>4</v>
      </c>
      <c r="C24">
        <v>0.81064579999999997</v>
      </c>
      <c r="D24">
        <v>0.97644280000000006</v>
      </c>
    </row>
    <row r="25" spans="1:10">
      <c r="A25" t="s">
        <v>247</v>
      </c>
      <c r="B25" s="12">
        <v>5</v>
      </c>
      <c r="C25">
        <v>0.73066439999999999</v>
      </c>
      <c r="D25">
        <v>0.97644280000000006</v>
      </c>
    </row>
    <row r="26" spans="1:10">
      <c r="A26" t="s">
        <v>248</v>
      </c>
      <c r="B26" s="12">
        <v>6</v>
      </c>
      <c r="C26">
        <v>0.97483969999999998</v>
      </c>
      <c r="D26">
        <v>0.97644280000000006</v>
      </c>
    </row>
    <row r="27" spans="1:10">
      <c r="A27" t="s">
        <v>249</v>
      </c>
      <c r="B27" s="12">
        <v>7</v>
      </c>
      <c r="C27">
        <v>0.88517449999999998</v>
      </c>
      <c r="D27">
        <v>0.97644280000000006</v>
      </c>
    </row>
    <row r="28" spans="1:10">
      <c r="A28" t="s">
        <v>183</v>
      </c>
      <c r="B28" s="12">
        <v>8</v>
      </c>
      <c r="C28">
        <v>0.94871000000000005</v>
      </c>
      <c r="D28">
        <v>0.97644280000000006</v>
      </c>
    </row>
    <row r="29" spans="1:10">
      <c r="A29" t="s">
        <v>182</v>
      </c>
      <c r="B29" s="12">
        <v>9</v>
      </c>
      <c r="C29">
        <v>0.94410070000000001</v>
      </c>
      <c r="D29">
        <v>0.97644280000000006</v>
      </c>
    </row>
    <row r="30" spans="1:10">
      <c r="A30" t="s">
        <v>243</v>
      </c>
      <c r="B30" s="12">
        <v>10</v>
      </c>
      <c r="C30">
        <v>0.83250020000000002</v>
      </c>
      <c r="D30">
        <v>0.97644280000000006</v>
      </c>
    </row>
    <row r="31" spans="1:10">
      <c r="A31" t="s">
        <v>713</v>
      </c>
      <c r="B31" s="12">
        <v>11</v>
      </c>
      <c r="C31">
        <v>0.92711779999999999</v>
      </c>
      <c r="D31">
        <v>0.97644280000000006</v>
      </c>
    </row>
    <row r="32" spans="1:10">
      <c r="A32" t="s">
        <v>216</v>
      </c>
      <c r="B32" s="12">
        <v>12</v>
      </c>
      <c r="C32">
        <v>0.70015519999999998</v>
      </c>
      <c r="D32">
        <v>0.97644280000000006</v>
      </c>
    </row>
    <row r="33" spans="1:4">
      <c r="A33" t="s">
        <v>184</v>
      </c>
      <c r="B33" s="12">
        <v>13</v>
      </c>
      <c r="C33">
        <v>0.58721789999999996</v>
      </c>
      <c r="D33">
        <v>0.97644280000000006</v>
      </c>
    </row>
    <row r="34" spans="1:4">
      <c r="A34" t="s">
        <v>245</v>
      </c>
      <c r="B34" s="12">
        <v>14</v>
      </c>
      <c r="C34">
        <v>0.55701959999999995</v>
      </c>
      <c r="D34">
        <v>0.97644280000000006</v>
      </c>
    </row>
    <row r="35" spans="1:4">
      <c r="A35" t="s">
        <v>246</v>
      </c>
      <c r="B35" s="12">
        <v>15</v>
      </c>
      <c r="C35">
        <v>0.98712789999999995</v>
      </c>
      <c r="D35">
        <v>0.97644280000000006</v>
      </c>
    </row>
    <row r="36" spans="1:4">
      <c r="A36" t="s">
        <v>250</v>
      </c>
      <c r="B36" s="12">
        <v>16</v>
      </c>
      <c r="C36">
        <v>0.80139039999999995</v>
      </c>
      <c r="D36">
        <v>0.97644280000000006</v>
      </c>
    </row>
  </sheetData>
  <sortState ref="A39:J54">
    <sortCondition ref="B39:B5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9" enableFormatConditionsCalculation="0">
    <tabColor indexed="8"/>
  </sheetPr>
  <dimension ref="A1:K31"/>
  <sheetViews>
    <sheetView workbookViewId="0">
      <selection activeCell="H8" sqref="H8"/>
    </sheetView>
  </sheetViews>
  <sheetFormatPr defaultRowHeight="12.75"/>
  <sheetData>
    <row r="1" spans="1:11">
      <c r="A1" t="s">
        <v>173</v>
      </c>
      <c r="B1" t="s">
        <v>226</v>
      </c>
      <c r="C1" t="s">
        <v>198</v>
      </c>
      <c r="D1" t="s">
        <v>199</v>
      </c>
      <c r="E1" t="s">
        <v>201</v>
      </c>
      <c r="F1" t="s">
        <v>200</v>
      </c>
      <c r="G1" t="s">
        <v>197</v>
      </c>
      <c r="H1" t="s">
        <v>158</v>
      </c>
      <c r="I1" t="s">
        <v>742</v>
      </c>
      <c r="J1" t="s">
        <v>203</v>
      </c>
    </row>
    <row r="2" spans="1:11">
      <c r="A2" s="12">
        <v>10</v>
      </c>
      <c r="B2" t="s">
        <v>243</v>
      </c>
      <c r="D2">
        <v>-10.860900000000001</v>
      </c>
      <c r="E2">
        <v>-4.1891660000000002</v>
      </c>
      <c r="F2">
        <v>30.463989999999999</v>
      </c>
      <c r="G2">
        <v>14.119339999999999</v>
      </c>
      <c r="H2">
        <v>-19.090450000000001</v>
      </c>
      <c r="I2">
        <v>-7.342041</v>
      </c>
      <c r="J2">
        <v>4.2474980000000002</v>
      </c>
      <c r="K2" s="12"/>
    </row>
    <row r="3" spans="1:11">
      <c r="A3" s="12">
        <f>A2+0.5</f>
        <v>10.5</v>
      </c>
      <c r="C3">
        <v>0</v>
      </c>
      <c r="D3">
        <v>2</v>
      </c>
      <c r="E3">
        <v>14</v>
      </c>
      <c r="F3">
        <v>1</v>
      </c>
      <c r="G3">
        <v>3</v>
      </c>
      <c r="H3">
        <v>1</v>
      </c>
      <c r="I3">
        <v>1</v>
      </c>
      <c r="J3">
        <v>8</v>
      </c>
      <c r="K3" s="12"/>
    </row>
    <row r="4" spans="1:11">
      <c r="A4" s="12">
        <v>11</v>
      </c>
      <c r="B4" t="s">
        <v>713</v>
      </c>
      <c r="C4">
        <v>-12.355219999999999</v>
      </c>
      <c r="D4">
        <v>-4.9482600000000003</v>
      </c>
      <c r="E4">
        <v>-5.1144499999999997</v>
      </c>
      <c r="F4">
        <v>37.693480000000001</v>
      </c>
      <c r="G4">
        <v>19.184159999999999</v>
      </c>
      <c r="H4">
        <v>-7.7302249999999999</v>
      </c>
      <c r="I4">
        <v>-8.030151</v>
      </c>
      <c r="J4">
        <v>3.8049460000000002</v>
      </c>
      <c r="K4" s="12"/>
    </row>
    <row r="5" spans="1:11">
      <c r="A5" s="12">
        <f>A4+0.5</f>
        <v>11.5</v>
      </c>
      <c r="C5">
        <v>1</v>
      </c>
      <c r="D5">
        <v>7</v>
      </c>
      <c r="E5">
        <v>19</v>
      </c>
      <c r="F5">
        <v>1</v>
      </c>
      <c r="G5">
        <v>3</v>
      </c>
      <c r="H5">
        <v>1</v>
      </c>
      <c r="I5">
        <v>1</v>
      </c>
      <c r="J5">
        <v>17</v>
      </c>
      <c r="K5" s="12"/>
    </row>
    <row r="6" spans="1:11">
      <c r="A6" s="12">
        <v>1</v>
      </c>
      <c r="B6" t="s">
        <v>180</v>
      </c>
      <c r="C6">
        <v>-29.750979999999998</v>
      </c>
      <c r="D6">
        <v>-6.0088080000000001</v>
      </c>
      <c r="E6">
        <v>-13.30674</v>
      </c>
      <c r="F6">
        <v>10.109439999999999</v>
      </c>
      <c r="G6">
        <v>18.89227</v>
      </c>
      <c r="H6">
        <v>-29.448119999999999</v>
      </c>
      <c r="I6">
        <v>-14.99048</v>
      </c>
      <c r="J6">
        <v>8.4013559999999998</v>
      </c>
      <c r="K6" s="12"/>
    </row>
    <row r="7" spans="1:11">
      <c r="A7" s="12">
        <f>A6+0.5</f>
        <v>1.5</v>
      </c>
      <c r="C7">
        <v>1</v>
      </c>
      <c r="D7">
        <v>13</v>
      </c>
      <c r="E7">
        <v>18</v>
      </c>
      <c r="F7">
        <v>13</v>
      </c>
      <c r="G7">
        <v>4</v>
      </c>
      <c r="H7">
        <v>1</v>
      </c>
      <c r="I7">
        <v>1</v>
      </c>
      <c r="J7">
        <v>22</v>
      </c>
      <c r="K7" s="12"/>
    </row>
    <row r="8" spans="1:11">
      <c r="A8" s="12">
        <v>12</v>
      </c>
      <c r="B8" t="s">
        <v>216</v>
      </c>
      <c r="C8">
        <v>-4.1431880000000003</v>
      </c>
      <c r="D8">
        <v>2.1721759999999999</v>
      </c>
      <c r="E8">
        <v>-3.5913089999999999</v>
      </c>
      <c r="F8">
        <v>2.2124329999999999</v>
      </c>
      <c r="G8">
        <v>-1.4613339999999999</v>
      </c>
      <c r="H8">
        <v>-4.8068850000000003</v>
      </c>
      <c r="I8">
        <v>-7.3078609999999999</v>
      </c>
      <c r="J8">
        <v>1.17805</v>
      </c>
      <c r="K8" s="12"/>
    </row>
    <row r="9" spans="1:11">
      <c r="A9" s="12">
        <f>A8+0.5</f>
        <v>12.5</v>
      </c>
      <c r="C9">
        <v>1</v>
      </c>
      <c r="D9">
        <v>15</v>
      </c>
      <c r="E9">
        <v>19</v>
      </c>
      <c r="F9">
        <v>8</v>
      </c>
      <c r="G9">
        <v>4</v>
      </c>
      <c r="H9">
        <v>1</v>
      </c>
      <c r="I9">
        <v>1</v>
      </c>
      <c r="J9">
        <v>34</v>
      </c>
      <c r="K9" s="12"/>
    </row>
    <row r="10" spans="1:11">
      <c r="A10" s="12">
        <v>3</v>
      </c>
      <c r="B10" t="s">
        <v>186</v>
      </c>
      <c r="C10">
        <v>-42.36853</v>
      </c>
      <c r="D10">
        <v>-4.6929449999999999</v>
      </c>
      <c r="E10">
        <v>-26.767469999999999</v>
      </c>
      <c r="F10">
        <v>13.13565</v>
      </c>
      <c r="G10">
        <v>9.4788820000000005</v>
      </c>
      <c r="H10">
        <v>-36.958129999999997</v>
      </c>
      <c r="I10">
        <v>-31.37659</v>
      </c>
      <c r="J10">
        <v>8.1617610000000003</v>
      </c>
      <c r="K10" s="12"/>
    </row>
    <row r="11" spans="1:11">
      <c r="A11" s="12">
        <f>A10+0.5</f>
        <v>3.5</v>
      </c>
      <c r="C11">
        <v>1</v>
      </c>
      <c r="D11">
        <v>15</v>
      </c>
      <c r="E11">
        <v>16</v>
      </c>
      <c r="F11">
        <v>23</v>
      </c>
      <c r="G11">
        <v>4</v>
      </c>
      <c r="H11">
        <v>1</v>
      </c>
      <c r="I11">
        <v>1</v>
      </c>
      <c r="J11">
        <v>33</v>
      </c>
      <c r="K11" s="12"/>
    </row>
    <row r="12" spans="1:11">
      <c r="A12" s="12">
        <v>13</v>
      </c>
      <c r="B12" t="s">
        <v>184</v>
      </c>
      <c r="C12">
        <v>-1.5535890000000001</v>
      </c>
      <c r="D12">
        <v>0.88989260000000003</v>
      </c>
      <c r="E12">
        <v>-2.0641509999999998</v>
      </c>
      <c r="F12">
        <v>1.366984</v>
      </c>
      <c r="G12">
        <v>-0.54943850000000005</v>
      </c>
      <c r="H12">
        <v>-3.3962400000000001</v>
      </c>
      <c r="I12">
        <v>-1.102417</v>
      </c>
      <c r="J12">
        <v>1.641456</v>
      </c>
      <c r="K12" s="12"/>
    </row>
    <row r="13" spans="1:11">
      <c r="A13" s="12">
        <f>A12+0.5</f>
        <v>13.5</v>
      </c>
      <c r="C13">
        <v>1</v>
      </c>
      <c r="D13">
        <v>10</v>
      </c>
      <c r="E13">
        <v>19</v>
      </c>
      <c r="F13">
        <v>3</v>
      </c>
      <c r="G13">
        <v>4</v>
      </c>
      <c r="H13">
        <v>1</v>
      </c>
      <c r="I13">
        <v>1</v>
      </c>
      <c r="J13">
        <v>21</v>
      </c>
      <c r="K13" s="12"/>
    </row>
    <row r="14" spans="1:11">
      <c r="A14" s="12">
        <v>14</v>
      </c>
      <c r="B14" t="s">
        <v>245</v>
      </c>
      <c r="E14">
        <v>0.50600590000000001</v>
      </c>
      <c r="H14">
        <v>-2.3796390000000001</v>
      </c>
      <c r="J14">
        <v>-2.679932</v>
      </c>
      <c r="K14" s="12"/>
    </row>
    <row r="15" spans="1:11">
      <c r="A15" s="12">
        <f>A14+0.5</f>
        <v>14.5</v>
      </c>
      <c r="C15">
        <v>0</v>
      </c>
      <c r="D15">
        <v>0</v>
      </c>
      <c r="E15">
        <v>10</v>
      </c>
      <c r="F15">
        <v>0</v>
      </c>
      <c r="G15">
        <v>0</v>
      </c>
      <c r="H15">
        <v>1</v>
      </c>
      <c r="I15">
        <v>0</v>
      </c>
      <c r="J15">
        <v>1</v>
      </c>
      <c r="K15" s="12"/>
    </row>
    <row r="16" spans="1:11">
      <c r="A16" s="12">
        <v>2</v>
      </c>
      <c r="B16" t="s">
        <v>187</v>
      </c>
      <c r="C16">
        <v>-4.1529540000000003</v>
      </c>
      <c r="D16">
        <v>1.576611</v>
      </c>
      <c r="E16">
        <v>-1.4344030000000001</v>
      </c>
      <c r="F16">
        <v>0.22914119999999999</v>
      </c>
      <c r="G16">
        <v>0.3624674</v>
      </c>
      <c r="H16">
        <v>-6.297485</v>
      </c>
      <c r="I16">
        <v>-2.9956049999999999</v>
      </c>
      <c r="J16">
        <v>0.81529859999999998</v>
      </c>
      <c r="K16" s="12"/>
    </row>
    <row r="17" spans="1:11">
      <c r="A17" s="12">
        <f>A16+0.5</f>
        <v>2.5</v>
      </c>
      <c r="C17">
        <v>1</v>
      </c>
      <c r="D17">
        <v>10</v>
      </c>
      <c r="E17">
        <v>19</v>
      </c>
      <c r="F17">
        <v>8</v>
      </c>
      <c r="G17">
        <v>3</v>
      </c>
      <c r="H17">
        <v>1</v>
      </c>
      <c r="I17">
        <v>1</v>
      </c>
      <c r="J17">
        <v>27</v>
      </c>
      <c r="K17" s="12"/>
    </row>
    <row r="18" spans="1:11">
      <c r="A18" s="12">
        <v>15</v>
      </c>
      <c r="B18" t="s">
        <v>246</v>
      </c>
      <c r="C18">
        <v>-79.237300000000005</v>
      </c>
      <c r="D18">
        <v>-9.3819940000000006</v>
      </c>
      <c r="E18">
        <v>-50.558169999999997</v>
      </c>
      <c r="F18">
        <v>45.061709999999998</v>
      </c>
      <c r="G18">
        <v>54.588700000000003</v>
      </c>
      <c r="H18">
        <v>-90.743290000000002</v>
      </c>
      <c r="I18">
        <v>-7.6883540000000004</v>
      </c>
      <c r="J18">
        <v>38.179639999999999</v>
      </c>
      <c r="K18" s="12"/>
    </row>
    <row r="19" spans="1:11">
      <c r="A19" s="12">
        <f>A18+0.5</f>
        <v>15.5</v>
      </c>
      <c r="C19">
        <v>1</v>
      </c>
      <c r="D19">
        <v>10</v>
      </c>
      <c r="E19">
        <v>14</v>
      </c>
      <c r="F19">
        <v>2</v>
      </c>
      <c r="G19">
        <v>3</v>
      </c>
      <c r="H19">
        <v>1</v>
      </c>
      <c r="I19">
        <v>1</v>
      </c>
      <c r="J19">
        <v>19</v>
      </c>
      <c r="K19" s="12"/>
    </row>
    <row r="20" spans="1:11">
      <c r="A20" s="12">
        <v>8</v>
      </c>
      <c r="B20" t="s">
        <v>183</v>
      </c>
      <c r="C20">
        <v>-35.847050000000003</v>
      </c>
      <c r="D20">
        <v>7.6599120000000003</v>
      </c>
      <c r="E20">
        <v>-21.024360000000001</v>
      </c>
      <c r="F20">
        <v>52.364750000000001</v>
      </c>
      <c r="G20">
        <v>63.560360000000003</v>
      </c>
      <c r="H20">
        <v>-13.766719999999999</v>
      </c>
      <c r="I20">
        <v>-10.63818</v>
      </c>
      <c r="J20">
        <v>15.81442</v>
      </c>
      <c r="K20" s="12"/>
    </row>
    <row r="21" spans="1:11">
      <c r="A21" s="12">
        <f>A20+0.5</f>
        <v>8.5</v>
      </c>
      <c r="C21">
        <v>1</v>
      </c>
      <c r="D21">
        <v>7</v>
      </c>
      <c r="E21">
        <v>18</v>
      </c>
      <c r="F21">
        <v>1</v>
      </c>
      <c r="G21">
        <v>2</v>
      </c>
      <c r="H21">
        <v>1</v>
      </c>
      <c r="I21">
        <v>1</v>
      </c>
      <c r="J21">
        <v>13</v>
      </c>
      <c r="K21" s="12"/>
    </row>
    <row r="22" spans="1:11">
      <c r="A22" s="12">
        <v>9</v>
      </c>
      <c r="B22" t="s">
        <v>182</v>
      </c>
      <c r="C22">
        <v>-33.826050000000002</v>
      </c>
      <c r="D22">
        <v>-11.19711</v>
      </c>
      <c r="E22">
        <v>-28.76267</v>
      </c>
      <c r="F22">
        <v>26.800850000000001</v>
      </c>
      <c r="G22">
        <v>24.546019999999999</v>
      </c>
      <c r="H22">
        <v>-51.851320000000001</v>
      </c>
      <c r="I22">
        <v>-35.720579999999998</v>
      </c>
      <c r="J22">
        <v>18.980049999999999</v>
      </c>
      <c r="K22" s="12"/>
    </row>
    <row r="23" spans="1:11">
      <c r="A23" s="12">
        <f>A22+0.5</f>
        <v>9.5</v>
      </c>
      <c r="C23">
        <v>1</v>
      </c>
      <c r="D23">
        <v>10</v>
      </c>
      <c r="E23">
        <v>17</v>
      </c>
      <c r="F23">
        <v>7</v>
      </c>
      <c r="G23">
        <v>4</v>
      </c>
      <c r="H23">
        <v>1</v>
      </c>
      <c r="I23">
        <v>1</v>
      </c>
      <c r="J23">
        <v>23</v>
      </c>
      <c r="K23" s="12"/>
    </row>
    <row r="24" spans="1:11">
      <c r="A24" s="12">
        <v>4</v>
      </c>
      <c r="B24" t="s">
        <v>181</v>
      </c>
      <c r="D24">
        <v>-9.3181910000000006</v>
      </c>
      <c r="E24">
        <v>-13.036659999999999</v>
      </c>
      <c r="F24">
        <v>22.668119999999998</v>
      </c>
      <c r="G24">
        <v>23.27383</v>
      </c>
      <c r="H24">
        <v>-20.783570000000001</v>
      </c>
      <c r="I24">
        <v>-10.356809999999999</v>
      </c>
      <c r="J24">
        <v>11.281090000000001</v>
      </c>
      <c r="K24" s="12"/>
    </row>
    <row r="25" spans="1:11">
      <c r="A25" s="12">
        <f>A24+0.5</f>
        <v>4.5</v>
      </c>
      <c r="C25">
        <v>0</v>
      </c>
      <c r="D25">
        <v>13</v>
      </c>
      <c r="E25">
        <v>18</v>
      </c>
      <c r="F25">
        <v>5</v>
      </c>
      <c r="G25">
        <v>4</v>
      </c>
      <c r="H25">
        <v>1</v>
      </c>
      <c r="I25">
        <v>1</v>
      </c>
      <c r="J25">
        <v>16</v>
      </c>
      <c r="K25" s="12"/>
    </row>
    <row r="26" spans="1:11">
      <c r="A26" s="12">
        <v>5</v>
      </c>
      <c r="B26" t="s">
        <v>247</v>
      </c>
      <c r="C26">
        <v>-6.7939449999999999</v>
      </c>
      <c r="D26">
        <v>0.78020020000000001</v>
      </c>
      <c r="E26">
        <v>-1.838738</v>
      </c>
      <c r="G26">
        <v>8.6428220000000007</v>
      </c>
      <c r="H26">
        <v>-7.4783939999999998</v>
      </c>
      <c r="I26">
        <v>-6.5472409999999996</v>
      </c>
      <c r="J26">
        <v>2.5741879999999999</v>
      </c>
      <c r="K26" s="12"/>
    </row>
    <row r="27" spans="1:11">
      <c r="A27" s="12">
        <f>A26+0.5</f>
        <v>5.5</v>
      </c>
      <c r="C27">
        <v>1</v>
      </c>
      <c r="D27">
        <v>5</v>
      </c>
      <c r="E27">
        <v>17</v>
      </c>
      <c r="F27">
        <v>0</v>
      </c>
      <c r="G27">
        <v>2</v>
      </c>
      <c r="H27">
        <v>1</v>
      </c>
      <c r="I27">
        <v>1</v>
      </c>
      <c r="J27">
        <v>12</v>
      </c>
      <c r="K27" s="12"/>
    </row>
    <row r="28" spans="1:11">
      <c r="A28" s="12">
        <v>6</v>
      </c>
      <c r="B28" t="s">
        <v>248</v>
      </c>
      <c r="D28">
        <v>5.6354980000000001</v>
      </c>
      <c r="E28">
        <v>-21.83051</v>
      </c>
      <c r="F28">
        <v>44.533940000000001</v>
      </c>
      <c r="G28">
        <v>44.533079999999998</v>
      </c>
      <c r="H28">
        <v>-35.664430000000003</v>
      </c>
      <c r="I28">
        <v>-14.62476</v>
      </c>
      <c r="J28">
        <v>13.953340000000001</v>
      </c>
      <c r="K28" s="12"/>
    </row>
    <row r="29" spans="1:11">
      <c r="A29" s="12">
        <f>A28+0.5</f>
        <v>6.5</v>
      </c>
      <c r="C29">
        <v>0</v>
      </c>
      <c r="D29">
        <v>2</v>
      </c>
      <c r="E29">
        <v>18</v>
      </c>
      <c r="F29">
        <v>4</v>
      </c>
      <c r="G29">
        <v>1</v>
      </c>
      <c r="H29">
        <v>1</v>
      </c>
      <c r="I29">
        <v>1</v>
      </c>
      <c r="J29">
        <v>15</v>
      </c>
      <c r="K29" s="12"/>
    </row>
    <row r="30" spans="1:11">
      <c r="A30" s="12">
        <v>7</v>
      </c>
      <c r="B30" t="s">
        <v>249</v>
      </c>
      <c r="C30">
        <v>7.669556</v>
      </c>
      <c r="D30">
        <v>1.045029</v>
      </c>
      <c r="E30">
        <v>-22.889810000000001</v>
      </c>
      <c r="F30">
        <v>22.980429999999998</v>
      </c>
      <c r="G30">
        <v>13.90222</v>
      </c>
      <c r="H30">
        <v>-41.508180000000003</v>
      </c>
      <c r="I30">
        <v>-33.326050000000002</v>
      </c>
      <c r="J30">
        <v>6.0264990000000003</v>
      </c>
      <c r="K30" s="12"/>
    </row>
    <row r="31" spans="1:11">
      <c r="A31" s="12">
        <f>A30+0.5</f>
        <v>7.5</v>
      </c>
      <c r="C31">
        <v>1</v>
      </c>
      <c r="D31">
        <v>8</v>
      </c>
      <c r="E31">
        <v>14</v>
      </c>
      <c r="F31">
        <v>9</v>
      </c>
      <c r="G31">
        <v>2</v>
      </c>
      <c r="H31">
        <v>1</v>
      </c>
      <c r="I31">
        <v>1</v>
      </c>
      <c r="J31">
        <v>24</v>
      </c>
      <c r="K31" s="12"/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>
    <tabColor indexed="8"/>
  </sheetPr>
  <dimension ref="A1:F5"/>
  <sheetViews>
    <sheetView workbookViewId="0">
      <selection activeCell="B2" sqref="B2:F5"/>
    </sheetView>
  </sheetViews>
  <sheetFormatPr defaultRowHeight="12.75"/>
  <sheetData>
    <row r="1" spans="1:6">
      <c r="B1">
        <v>1</v>
      </c>
      <c r="C1">
        <v>2</v>
      </c>
      <c r="D1">
        <v>3</v>
      </c>
      <c r="E1">
        <v>4</v>
      </c>
      <c r="F1">
        <v>5</v>
      </c>
    </row>
    <row r="2" spans="1:6">
      <c r="A2">
        <v>1</v>
      </c>
      <c r="B2" t="s">
        <v>226</v>
      </c>
      <c r="C2" t="s">
        <v>421</v>
      </c>
      <c r="D2" t="s">
        <v>438</v>
      </c>
      <c r="E2" t="s">
        <v>488</v>
      </c>
      <c r="F2" t="s">
        <v>501</v>
      </c>
    </row>
    <row r="3" spans="1:6">
      <c r="A3">
        <v>2</v>
      </c>
      <c r="B3" t="s">
        <v>216</v>
      </c>
      <c r="C3">
        <v>1983.6469999999999</v>
      </c>
      <c r="D3">
        <v>1985.7190000000001</v>
      </c>
      <c r="E3">
        <v>1986.787</v>
      </c>
      <c r="F3">
        <v>1988.4570000000001</v>
      </c>
    </row>
    <row r="4" spans="1:6">
      <c r="A4">
        <v>3</v>
      </c>
      <c r="B4" t="s">
        <v>184</v>
      </c>
      <c r="C4">
        <v>1990.1579999999999</v>
      </c>
      <c r="D4">
        <v>1989.701</v>
      </c>
      <c r="E4">
        <v>1990.4359999999999</v>
      </c>
      <c r="F4">
        <v>1990.7</v>
      </c>
    </row>
    <row r="5" spans="1:6">
      <c r="A5">
        <v>4</v>
      </c>
      <c r="B5" t="s">
        <v>187</v>
      </c>
      <c r="C5">
        <v>1987.1289999999999</v>
      </c>
      <c r="D5">
        <v>1987.673</v>
      </c>
      <c r="E5">
        <v>1987.1559999999999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4">
    <tabColor indexed="8"/>
  </sheetPr>
  <dimension ref="A1:G218"/>
  <sheetViews>
    <sheetView topLeftCell="A92" workbookViewId="0"/>
  </sheetViews>
  <sheetFormatPr defaultRowHeight="12.75"/>
  <sheetData>
    <row r="1" spans="1:7">
      <c r="A1" s="20" t="s">
        <v>543</v>
      </c>
      <c r="B1" s="20" t="s">
        <v>432</v>
      </c>
      <c r="C1" s="20" t="s">
        <v>435</v>
      </c>
      <c r="D1" s="20" t="s">
        <v>465</v>
      </c>
      <c r="E1" s="20" t="s">
        <v>492</v>
      </c>
      <c r="F1" s="20" t="s">
        <v>512</v>
      </c>
      <c r="G1" s="20" t="s">
        <v>513</v>
      </c>
    </row>
    <row r="2" spans="1:7">
      <c r="A2">
        <v>1788</v>
      </c>
      <c r="B2" t="e">
        <f>NA()</f>
        <v>#N/A</v>
      </c>
      <c r="C2" t="e">
        <f>NA()</f>
        <v>#N/A</v>
      </c>
      <c r="D2" t="e">
        <f>NA()</f>
        <v>#N/A</v>
      </c>
      <c r="E2" t="e">
        <f>NA()</f>
        <v>#N/A</v>
      </c>
      <c r="F2" t="e">
        <f>NA()</f>
        <v>#N/A</v>
      </c>
      <c r="G2" t="e">
        <f>NA()</f>
        <v>#N/A</v>
      </c>
    </row>
    <row r="3" spans="1:7">
      <c r="A3">
        <v>1789</v>
      </c>
      <c r="B3" t="e">
        <f>NA()</f>
        <v>#N/A</v>
      </c>
      <c r="C3" t="e">
        <f>NA()</f>
        <v>#N/A</v>
      </c>
      <c r="D3" t="e">
        <f>NA()</f>
        <v>#N/A</v>
      </c>
      <c r="E3" t="e">
        <f>NA()</f>
        <v>#N/A</v>
      </c>
      <c r="F3" t="e">
        <f>NA()</f>
        <v>#N/A</v>
      </c>
      <c r="G3" t="e">
        <f>NA()</f>
        <v>#N/A</v>
      </c>
    </row>
    <row r="4" spans="1:7">
      <c r="A4">
        <v>1790</v>
      </c>
      <c r="B4" t="e">
        <f>NA()</f>
        <v>#N/A</v>
      </c>
      <c r="C4" t="e">
        <f>NA()</f>
        <v>#N/A</v>
      </c>
      <c r="D4" t="e">
        <f>NA()</f>
        <v>#N/A</v>
      </c>
      <c r="E4" t="e">
        <f>NA()</f>
        <v>#N/A</v>
      </c>
      <c r="F4" t="e">
        <f>NA()</f>
        <v>#N/A</v>
      </c>
      <c r="G4" t="e">
        <f>NA()</f>
        <v>#N/A</v>
      </c>
    </row>
    <row r="5" spans="1:7">
      <c r="A5">
        <v>1791</v>
      </c>
      <c r="B5" t="e">
        <f>NA()</f>
        <v>#N/A</v>
      </c>
      <c r="C5" t="e">
        <f>NA()</f>
        <v>#N/A</v>
      </c>
      <c r="D5" t="e">
        <f>NA()</f>
        <v>#N/A</v>
      </c>
      <c r="E5" t="e">
        <f>NA()</f>
        <v>#N/A</v>
      </c>
      <c r="F5" t="e">
        <f>NA()</f>
        <v>#N/A</v>
      </c>
      <c r="G5" t="e">
        <f>NA()</f>
        <v>#N/A</v>
      </c>
    </row>
    <row r="6" spans="1:7">
      <c r="A6">
        <v>1792</v>
      </c>
      <c r="B6" t="e">
        <f>NA()</f>
        <v>#N/A</v>
      </c>
      <c r="C6" t="e">
        <f>NA()</f>
        <v>#N/A</v>
      </c>
      <c r="D6" t="e">
        <f>NA()</f>
        <v>#N/A</v>
      </c>
      <c r="E6" t="e">
        <f>NA()</f>
        <v>#N/A</v>
      </c>
      <c r="F6" t="e">
        <f>NA()</f>
        <v>#N/A</v>
      </c>
      <c r="G6" t="e">
        <f>NA()</f>
        <v>#N/A</v>
      </c>
    </row>
    <row r="7" spans="1:7">
      <c r="A7">
        <v>1793</v>
      </c>
      <c r="B7" t="e">
        <f>NA()</f>
        <v>#N/A</v>
      </c>
      <c r="C7" t="e">
        <f>NA()</f>
        <v>#N/A</v>
      </c>
      <c r="D7" t="e">
        <f>NA()</f>
        <v>#N/A</v>
      </c>
      <c r="E7" t="e">
        <f>NA()</f>
        <v>#N/A</v>
      </c>
      <c r="F7" t="e">
        <f>NA()</f>
        <v>#N/A</v>
      </c>
      <c r="G7" t="e">
        <f>NA()</f>
        <v>#N/A</v>
      </c>
    </row>
    <row r="8" spans="1:7">
      <c r="A8">
        <v>1794</v>
      </c>
      <c r="B8" t="e">
        <f>NA()</f>
        <v>#N/A</v>
      </c>
      <c r="C8" t="e">
        <f>NA()</f>
        <v>#N/A</v>
      </c>
      <c r="D8" t="e">
        <f>NA()</f>
        <v>#N/A</v>
      </c>
      <c r="E8" t="e">
        <f>NA()</f>
        <v>#N/A</v>
      </c>
      <c r="F8" t="e">
        <f>NA()</f>
        <v>#N/A</v>
      </c>
      <c r="G8" t="e">
        <f>NA()</f>
        <v>#N/A</v>
      </c>
    </row>
    <row r="9" spans="1:7">
      <c r="A9">
        <v>1795</v>
      </c>
      <c r="B9" t="e">
        <f>NA()</f>
        <v>#N/A</v>
      </c>
      <c r="C9" t="e">
        <f>NA()</f>
        <v>#N/A</v>
      </c>
      <c r="D9" t="e">
        <f>NA()</f>
        <v>#N/A</v>
      </c>
      <c r="E9" t="e">
        <f>NA()</f>
        <v>#N/A</v>
      </c>
      <c r="F9" t="e">
        <f>NA()</f>
        <v>#N/A</v>
      </c>
      <c r="G9" t="e">
        <f>NA()</f>
        <v>#N/A</v>
      </c>
    </row>
    <row r="10" spans="1:7">
      <c r="A10">
        <v>1796</v>
      </c>
      <c r="B10" t="e">
        <f>NA()</f>
        <v>#N/A</v>
      </c>
      <c r="C10" t="e">
        <f>NA()</f>
        <v>#N/A</v>
      </c>
      <c r="D10" t="e">
        <f>NA()</f>
        <v>#N/A</v>
      </c>
      <c r="E10" t="e">
        <f>NA()</f>
        <v>#N/A</v>
      </c>
      <c r="F10" t="e">
        <f>NA()</f>
        <v>#N/A</v>
      </c>
      <c r="G10" t="e">
        <f>NA()</f>
        <v>#N/A</v>
      </c>
    </row>
    <row r="11" spans="1:7">
      <c r="A11">
        <v>1797</v>
      </c>
      <c r="B11" t="e">
        <f>NA()</f>
        <v>#N/A</v>
      </c>
      <c r="C11" t="e">
        <f>NA()</f>
        <v>#N/A</v>
      </c>
      <c r="D11" t="e">
        <f>NA()</f>
        <v>#N/A</v>
      </c>
      <c r="E11" t="e">
        <f>NA()</f>
        <v>#N/A</v>
      </c>
      <c r="F11" t="e">
        <f>NA()</f>
        <v>#N/A</v>
      </c>
      <c r="G11" t="e">
        <f>NA()</f>
        <v>#N/A</v>
      </c>
    </row>
    <row r="12" spans="1:7">
      <c r="A12">
        <v>1798</v>
      </c>
      <c r="B12" t="e">
        <f>NA()</f>
        <v>#N/A</v>
      </c>
      <c r="C12" t="e">
        <f>NA()</f>
        <v>#N/A</v>
      </c>
      <c r="D12" t="e">
        <f>NA()</f>
        <v>#N/A</v>
      </c>
      <c r="E12" t="e">
        <f>NA()</f>
        <v>#N/A</v>
      </c>
      <c r="F12" t="e">
        <f>NA()</f>
        <v>#N/A</v>
      </c>
      <c r="G12" t="e">
        <f>NA()</f>
        <v>#N/A</v>
      </c>
    </row>
    <row r="13" spans="1:7">
      <c r="A13">
        <v>1799</v>
      </c>
      <c r="B13" t="e">
        <f>NA()</f>
        <v>#N/A</v>
      </c>
      <c r="C13" t="e">
        <f>NA()</f>
        <v>#N/A</v>
      </c>
      <c r="D13" t="e">
        <f>NA()</f>
        <v>#N/A</v>
      </c>
      <c r="E13" t="e">
        <f>NA()</f>
        <v>#N/A</v>
      </c>
      <c r="F13" t="e">
        <f>NA()</f>
        <v>#N/A</v>
      </c>
      <c r="G13" t="e">
        <f>NA()</f>
        <v>#N/A</v>
      </c>
    </row>
    <row r="14" spans="1:7">
      <c r="A14">
        <v>1800</v>
      </c>
      <c r="B14" t="e">
        <f>NA()</f>
        <v>#N/A</v>
      </c>
      <c r="C14" t="e">
        <f>NA()</f>
        <v>#N/A</v>
      </c>
      <c r="D14" t="e">
        <f>NA()</f>
        <v>#N/A</v>
      </c>
      <c r="E14" t="e">
        <f>NA()</f>
        <v>#N/A</v>
      </c>
      <c r="F14" t="e">
        <f>NA()</f>
        <v>#N/A</v>
      </c>
      <c r="G14" t="e">
        <f>NA()</f>
        <v>#N/A</v>
      </c>
    </row>
    <row r="15" spans="1:7">
      <c r="A15">
        <v>1801</v>
      </c>
      <c r="B15" t="e">
        <f>NA()</f>
        <v>#N/A</v>
      </c>
      <c r="C15" t="e">
        <f>NA()</f>
        <v>#N/A</v>
      </c>
      <c r="D15" t="e">
        <f>NA()</f>
        <v>#N/A</v>
      </c>
      <c r="E15" t="e">
        <f>NA()</f>
        <v>#N/A</v>
      </c>
      <c r="F15" t="e">
        <f>NA()</f>
        <v>#N/A</v>
      </c>
      <c r="G15" t="e">
        <f>NA()</f>
        <v>#N/A</v>
      </c>
    </row>
    <row r="16" spans="1:7">
      <c r="A16">
        <v>1802</v>
      </c>
      <c r="B16" t="e">
        <f>NA()</f>
        <v>#N/A</v>
      </c>
      <c r="C16" t="e">
        <f>NA()</f>
        <v>#N/A</v>
      </c>
      <c r="D16" t="e">
        <f>NA()</f>
        <v>#N/A</v>
      </c>
      <c r="E16" t="e">
        <f>NA()</f>
        <v>#N/A</v>
      </c>
      <c r="F16" t="e">
        <f>NA()</f>
        <v>#N/A</v>
      </c>
      <c r="G16" t="e">
        <f>NA()</f>
        <v>#N/A</v>
      </c>
    </row>
    <row r="17" spans="1:7">
      <c r="A17">
        <v>1803</v>
      </c>
      <c r="B17" t="e">
        <f>NA()</f>
        <v>#N/A</v>
      </c>
      <c r="C17" t="e">
        <f>NA()</f>
        <v>#N/A</v>
      </c>
      <c r="D17" t="e">
        <f>NA()</f>
        <v>#N/A</v>
      </c>
      <c r="E17" t="e">
        <f>NA()</f>
        <v>#N/A</v>
      </c>
      <c r="F17" t="e">
        <f>NA()</f>
        <v>#N/A</v>
      </c>
      <c r="G17" t="e">
        <f>NA()</f>
        <v>#N/A</v>
      </c>
    </row>
    <row r="18" spans="1:7">
      <c r="A18">
        <v>1804</v>
      </c>
      <c r="B18" t="e">
        <f>NA()</f>
        <v>#N/A</v>
      </c>
      <c r="C18" t="e">
        <f>NA()</f>
        <v>#N/A</v>
      </c>
      <c r="D18" t="e">
        <f>NA()</f>
        <v>#N/A</v>
      </c>
      <c r="E18" t="e">
        <f>NA()</f>
        <v>#N/A</v>
      </c>
      <c r="F18" t="e">
        <f>NA()</f>
        <v>#N/A</v>
      </c>
      <c r="G18" t="e">
        <f>NA()</f>
        <v>#N/A</v>
      </c>
    </row>
    <row r="19" spans="1:7">
      <c r="A19">
        <v>1805</v>
      </c>
      <c r="B19" t="e">
        <f>NA()</f>
        <v>#N/A</v>
      </c>
      <c r="C19" t="e">
        <f>NA()</f>
        <v>#N/A</v>
      </c>
      <c r="D19" t="e">
        <f>NA()</f>
        <v>#N/A</v>
      </c>
      <c r="E19" t="e">
        <f>NA()</f>
        <v>#N/A</v>
      </c>
      <c r="F19" t="e">
        <f>NA()</f>
        <v>#N/A</v>
      </c>
      <c r="G19" t="e">
        <f>NA()</f>
        <v>#N/A</v>
      </c>
    </row>
    <row r="20" spans="1:7">
      <c r="A20">
        <v>1806</v>
      </c>
      <c r="B20" t="e">
        <f>NA()</f>
        <v>#N/A</v>
      </c>
      <c r="C20" t="e">
        <f>NA()</f>
        <v>#N/A</v>
      </c>
      <c r="D20" t="e">
        <f>NA()</f>
        <v>#N/A</v>
      </c>
      <c r="E20" t="e">
        <f>NA()</f>
        <v>#N/A</v>
      </c>
      <c r="F20" t="e">
        <f>NA()</f>
        <v>#N/A</v>
      </c>
      <c r="G20" t="e">
        <f>NA()</f>
        <v>#N/A</v>
      </c>
    </row>
    <row r="21" spans="1:7">
      <c r="A21">
        <v>1807</v>
      </c>
      <c r="B21" t="e">
        <f>NA()</f>
        <v>#N/A</v>
      </c>
      <c r="C21" t="e">
        <f>NA()</f>
        <v>#N/A</v>
      </c>
      <c r="D21" t="e">
        <f>NA()</f>
        <v>#N/A</v>
      </c>
      <c r="E21" t="e">
        <f>NA()</f>
        <v>#N/A</v>
      </c>
      <c r="F21" t="e">
        <f>NA()</f>
        <v>#N/A</v>
      </c>
      <c r="G21" t="e">
        <f>NA()</f>
        <v>#N/A</v>
      </c>
    </row>
    <row r="22" spans="1:7">
      <c r="A22">
        <v>1808</v>
      </c>
      <c r="B22" t="e">
        <f>NA()</f>
        <v>#N/A</v>
      </c>
      <c r="C22" t="e">
        <f>NA()</f>
        <v>#N/A</v>
      </c>
      <c r="D22" t="e">
        <f>NA()</f>
        <v>#N/A</v>
      </c>
      <c r="E22" t="e">
        <f>NA()</f>
        <v>#N/A</v>
      </c>
      <c r="F22" t="e">
        <f>NA()</f>
        <v>#N/A</v>
      </c>
      <c r="G22" t="e">
        <f>NA()</f>
        <v>#N/A</v>
      </c>
    </row>
    <row r="23" spans="1:7">
      <c r="A23">
        <v>1809</v>
      </c>
      <c r="B23" t="e">
        <f>NA()</f>
        <v>#N/A</v>
      </c>
      <c r="C23" t="e">
        <f>NA()</f>
        <v>#N/A</v>
      </c>
      <c r="D23" t="e">
        <f>NA()</f>
        <v>#N/A</v>
      </c>
      <c r="E23" t="e">
        <f>NA()</f>
        <v>#N/A</v>
      </c>
      <c r="F23" t="e">
        <f>NA()</f>
        <v>#N/A</v>
      </c>
      <c r="G23" t="e">
        <f>NA()</f>
        <v>#N/A</v>
      </c>
    </row>
    <row r="24" spans="1:7">
      <c r="A24">
        <v>1810</v>
      </c>
      <c r="B24" t="e">
        <f>NA()</f>
        <v>#N/A</v>
      </c>
      <c r="C24" t="e">
        <f>NA()</f>
        <v>#N/A</v>
      </c>
      <c r="D24" t="e">
        <f>NA()</f>
        <v>#N/A</v>
      </c>
      <c r="E24" t="e">
        <f>NA()</f>
        <v>#N/A</v>
      </c>
      <c r="F24" t="e">
        <f>NA()</f>
        <v>#N/A</v>
      </c>
      <c r="G24" t="e">
        <f>NA()</f>
        <v>#N/A</v>
      </c>
    </row>
    <row r="25" spans="1:7">
      <c r="A25">
        <v>1811</v>
      </c>
      <c r="B25" t="e">
        <f>NA()</f>
        <v>#N/A</v>
      </c>
      <c r="C25" t="e">
        <f>NA()</f>
        <v>#N/A</v>
      </c>
      <c r="D25" t="e">
        <f>NA()</f>
        <v>#N/A</v>
      </c>
      <c r="E25" t="e">
        <f>NA()</f>
        <v>#N/A</v>
      </c>
      <c r="F25" t="e">
        <f>NA()</f>
        <v>#N/A</v>
      </c>
      <c r="G25" t="e">
        <f>NA()</f>
        <v>#N/A</v>
      </c>
    </row>
    <row r="26" spans="1:7">
      <c r="A26">
        <v>1812</v>
      </c>
      <c r="B26" t="e">
        <f>NA()</f>
        <v>#N/A</v>
      </c>
      <c r="C26" t="e">
        <f>NA()</f>
        <v>#N/A</v>
      </c>
      <c r="D26" t="e">
        <f>NA()</f>
        <v>#N/A</v>
      </c>
      <c r="E26" t="e">
        <f>NA()</f>
        <v>#N/A</v>
      </c>
      <c r="F26" t="e">
        <f>NA()</f>
        <v>#N/A</v>
      </c>
      <c r="G26" t="e">
        <f>NA()</f>
        <v>#N/A</v>
      </c>
    </row>
    <row r="27" spans="1:7">
      <c r="A27">
        <v>1813</v>
      </c>
      <c r="B27" t="e">
        <f>NA()</f>
        <v>#N/A</v>
      </c>
      <c r="C27" t="e">
        <f>NA()</f>
        <v>#N/A</v>
      </c>
      <c r="D27" t="e">
        <f>NA()</f>
        <v>#N/A</v>
      </c>
      <c r="E27" t="e">
        <f>NA()</f>
        <v>#N/A</v>
      </c>
      <c r="F27" t="e">
        <f>NA()</f>
        <v>#N/A</v>
      </c>
      <c r="G27" t="e">
        <f>NA()</f>
        <v>#N/A</v>
      </c>
    </row>
    <row r="28" spans="1:7">
      <c r="A28">
        <v>1814</v>
      </c>
      <c r="B28" t="e">
        <f>NA()</f>
        <v>#N/A</v>
      </c>
      <c r="C28" t="e">
        <f>NA()</f>
        <v>#N/A</v>
      </c>
      <c r="D28" t="e">
        <f>NA()</f>
        <v>#N/A</v>
      </c>
      <c r="E28" t="e">
        <f>NA()</f>
        <v>#N/A</v>
      </c>
      <c r="F28" t="e">
        <f>NA()</f>
        <v>#N/A</v>
      </c>
      <c r="G28" t="e">
        <f>NA()</f>
        <v>#N/A</v>
      </c>
    </row>
    <row r="29" spans="1:7">
      <c r="A29">
        <v>1815</v>
      </c>
      <c r="B29" t="e">
        <f>NA()</f>
        <v>#N/A</v>
      </c>
      <c r="C29" t="e">
        <f>NA()</f>
        <v>#N/A</v>
      </c>
      <c r="D29" t="e">
        <f>NA()</f>
        <v>#N/A</v>
      </c>
      <c r="E29" t="e">
        <f>NA()</f>
        <v>#N/A</v>
      </c>
      <c r="F29" t="e">
        <f>NA()</f>
        <v>#N/A</v>
      </c>
      <c r="G29" t="e">
        <f>NA()</f>
        <v>#N/A</v>
      </c>
    </row>
    <row r="30" spans="1:7">
      <c r="A30">
        <v>1816</v>
      </c>
      <c r="B30" t="e">
        <f>NA()</f>
        <v>#N/A</v>
      </c>
      <c r="C30" t="e">
        <f>NA()</f>
        <v>#N/A</v>
      </c>
      <c r="D30" t="e">
        <f>NA()</f>
        <v>#N/A</v>
      </c>
      <c r="E30" t="e">
        <f>NA()</f>
        <v>#N/A</v>
      </c>
      <c r="F30" t="e">
        <f>NA()</f>
        <v>#N/A</v>
      </c>
      <c r="G30" t="e">
        <f>NA()</f>
        <v>#N/A</v>
      </c>
    </row>
    <row r="31" spans="1:7">
      <c r="A31">
        <v>1817</v>
      </c>
      <c r="B31" t="e">
        <f>NA()</f>
        <v>#N/A</v>
      </c>
      <c r="C31" t="e">
        <f>NA()</f>
        <v>#N/A</v>
      </c>
      <c r="D31" t="e">
        <f>NA()</f>
        <v>#N/A</v>
      </c>
      <c r="E31" t="e">
        <f>NA()</f>
        <v>#N/A</v>
      </c>
      <c r="F31" t="e">
        <f>NA()</f>
        <v>#N/A</v>
      </c>
      <c r="G31" t="e">
        <f>NA()</f>
        <v>#N/A</v>
      </c>
    </row>
    <row r="32" spans="1:7">
      <c r="A32">
        <v>1818</v>
      </c>
      <c r="B32" t="e">
        <f>NA()</f>
        <v>#N/A</v>
      </c>
      <c r="C32" t="e">
        <f>NA()</f>
        <v>#N/A</v>
      </c>
      <c r="D32" t="e">
        <f>NA()</f>
        <v>#N/A</v>
      </c>
      <c r="E32" t="e">
        <f>NA()</f>
        <v>#N/A</v>
      </c>
      <c r="F32" t="e">
        <f>NA()</f>
        <v>#N/A</v>
      </c>
      <c r="G32" t="e">
        <f>NA()</f>
        <v>#N/A</v>
      </c>
    </row>
    <row r="33" spans="1:7">
      <c r="A33">
        <v>1819</v>
      </c>
      <c r="B33" t="e">
        <f>NA()</f>
        <v>#N/A</v>
      </c>
      <c r="C33" t="e">
        <f>NA()</f>
        <v>#N/A</v>
      </c>
      <c r="D33" t="e">
        <f>NA()</f>
        <v>#N/A</v>
      </c>
      <c r="E33" t="e">
        <f>NA()</f>
        <v>#N/A</v>
      </c>
      <c r="F33" t="e">
        <f>NA()</f>
        <v>#N/A</v>
      </c>
      <c r="G33" t="e">
        <f>NA()</f>
        <v>#N/A</v>
      </c>
    </row>
    <row r="34" spans="1:7">
      <c r="A34">
        <v>1820</v>
      </c>
      <c r="B34" t="e">
        <f>NA()</f>
        <v>#N/A</v>
      </c>
      <c r="C34" t="e">
        <f>NA()</f>
        <v>#N/A</v>
      </c>
      <c r="D34" t="e">
        <f>NA()</f>
        <v>#N/A</v>
      </c>
      <c r="E34" t="e">
        <f>NA()</f>
        <v>#N/A</v>
      </c>
      <c r="F34" t="e">
        <f>NA()</f>
        <v>#N/A</v>
      </c>
      <c r="G34" t="e">
        <f>NA()</f>
        <v>#N/A</v>
      </c>
    </row>
    <row r="35" spans="1:7">
      <c r="A35">
        <v>1821</v>
      </c>
      <c r="B35" t="e">
        <f>NA()</f>
        <v>#N/A</v>
      </c>
      <c r="C35" t="e">
        <f>NA()</f>
        <v>#N/A</v>
      </c>
      <c r="D35" t="e">
        <f>NA()</f>
        <v>#N/A</v>
      </c>
      <c r="E35" t="e">
        <f>NA()</f>
        <v>#N/A</v>
      </c>
      <c r="F35" t="e">
        <f>NA()</f>
        <v>#N/A</v>
      </c>
      <c r="G35" t="e">
        <f>NA()</f>
        <v>#N/A</v>
      </c>
    </row>
    <row r="36" spans="1:7">
      <c r="A36">
        <v>1822</v>
      </c>
      <c r="B36" t="e">
        <f>NA()</f>
        <v>#N/A</v>
      </c>
      <c r="C36" t="e">
        <f>NA()</f>
        <v>#N/A</v>
      </c>
      <c r="D36" t="e">
        <f>NA()</f>
        <v>#N/A</v>
      </c>
      <c r="E36" t="e">
        <f>NA()</f>
        <v>#N/A</v>
      </c>
      <c r="F36" t="e">
        <f>NA()</f>
        <v>#N/A</v>
      </c>
      <c r="G36" t="e">
        <f>NA()</f>
        <v>#N/A</v>
      </c>
    </row>
    <row r="37" spans="1:7">
      <c r="A37">
        <v>1823</v>
      </c>
      <c r="B37" t="e">
        <f>NA()</f>
        <v>#N/A</v>
      </c>
      <c r="C37" t="e">
        <f>NA()</f>
        <v>#N/A</v>
      </c>
      <c r="D37" t="e">
        <f>NA()</f>
        <v>#N/A</v>
      </c>
      <c r="E37" t="e">
        <f>NA()</f>
        <v>#N/A</v>
      </c>
      <c r="F37" t="e">
        <f>NA()</f>
        <v>#N/A</v>
      </c>
      <c r="G37" t="e">
        <f>NA()</f>
        <v>#N/A</v>
      </c>
    </row>
    <row r="38" spans="1:7">
      <c r="A38">
        <v>1824</v>
      </c>
      <c r="B38" t="e">
        <f>NA()</f>
        <v>#N/A</v>
      </c>
      <c r="C38" t="e">
        <f>NA()</f>
        <v>#N/A</v>
      </c>
      <c r="D38" t="e">
        <f>NA()</f>
        <v>#N/A</v>
      </c>
      <c r="E38" t="e">
        <f>NA()</f>
        <v>#N/A</v>
      </c>
      <c r="F38" t="e">
        <f>NA()</f>
        <v>#N/A</v>
      </c>
      <c r="G38" t="e">
        <f>NA()</f>
        <v>#N/A</v>
      </c>
    </row>
    <row r="39" spans="1:7">
      <c r="A39">
        <v>1825</v>
      </c>
      <c r="B39" t="e">
        <f>NA()</f>
        <v>#N/A</v>
      </c>
      <c r="C39" t="e">
        <f>NA()</f>
        <v>#N/A</v>
      </c>
      <c r="D39" t="e">
        <f>NA()</f>
        <v>#N/A</v>
      </c>
      <c r="E39" t="e">
        <f>NA()</f>
        <v>#N/A</v>
      </c>
      <c r="F39" t="e">
        <f>NA()</f>
        <v>#N/A</v>
      </c>
      <c r="G39" t="e">
        <f>NA()</f>
        <v>#N/A</v>
      </c>
    </row>
    <row r="40" spans="1:7">
      <c r="A40">
        <v>1826</v>
      </c>
      <c r="B40" t="e">
        <f>NA()</f>
        <v>#N/A</v>
      </c>
      <c r="C40" t="e">
        <f>NA()</f>
        <v>#N/A</v>
      </c>
      <c r="D40" t="e">
        <f>NA()</f>
        <v>#N/A</v>
      </c>
      <c r="E40" t="e">
        <f>NA()</f>
        <v>#N/A</v>
      </c>
      <c r="F40" t="e">
        <f>NA()</f>
        <v>#N/A</v>
      </c>
      <c r="G40" t="e">
        <f>NA()</f>
        <v>#N/A</v>
      </c>
    </row>
    <row r="41" spans="1:7">
      <c r="A41">
        <v>1827</v>
      </c>
      <c r="B41" t="e">
        <f>NA()</f>
        <v>#N/A</v>
      </c>
      <c r="C41" t="e">
        <f>NA()</f>
        <v>#N/A</v>
      </c>
      <c r="D41" t="e">
        <f>NA()</f>
        <v>#N/A</v>
      </c>
      <c r="E41" t="e">
        <f>NA()</f>
        <v>#N/A</v>
      </c>
      <c r="F41" t="e">
        <f>NA()</f>
        <v>#N/A</v>
      </c>
      <c r="G41" t="e">
        <f>NA()</f>
        <v>#N/A</v>
      </c>
    </row>
    <row r="42" spans="1:7">
      <c r="A42">
        <v>1828</v>
      </c>
      <c r="B42" t="e">
        <f>NA()</f>
        <v>#N/A</v>
      </c>
      <c r="C42" t="e">
        <f>NA()</f>
        <v>#N/A</v>
      </c>
      <c r="D42" t="e">
        <f>NA()</f>
        <v>#N/A</v>
      </c>
      <c r="E42" t="e">
        <f>NA()</f>
        <v>#N/A</v>
      </c>
      <c r="F42" t="e">
        <f>NA()</f>
        <v>#N/A</v>
      </c>
      <c r="G42" t="e">
        <f>NA()</f>
        <v>#N/A</v>
      </c>
    </row>
    <row r="43" spans="1:7">
      <c r="A43">
        <v>1829</v>
      </c>
      <c r="B43" t="e">
        <f>NA()</f>
        <v>#N/A</v>
      </c>
      <c r="C43" t="e">
        <f>NA()</f>
        <v>#N/A</v>
      </c>
      <c r="D43" t="e">
        <f>NA()</f>
        <v>#N/A</v>
      </c>
      <c r="E43" t="e">
        <f>NA()</f>
        <v>#N/A</v>
      </c>
      <c r="F43" t="e">
        <f>NA()</f>
        <v>#N/A</v>
      </c>
      <c r="G43" t="e">
        <f>NA()</f>
        <v>#N/A</v>
      </c>
    </row>
    <row r="44" spans="1:7">
      <c r="A44">
        <v>1830</v>
      </c>
      <c r="B44" t="e">
        <f>NA()</f>
        <v>#N/A</v>
      </c>
      <c r="C44" t="e">
        <f>NA()</f>
        <v>#N/A</v>
      </c>
      <c r="D44" t="e">
        <f>NA()</f>
        <v>#N/A</v>
      </c>
      <c r="E44" t="e">
        <f>NA()</f>
        <v>#N/A</v>
      </c>
      <c r="F44" t="e">
        <f>NA()</f>
        <v>#N/A</v>
      </c>
      <c r="G44" t="e">
        <f>NA()</f>
        <v>#N/A</v>
      </c>
    </row>
    <row r="45" spans="1:7">
      <c r="A45">
        <v>1831</v>
      </c>
      <c r="B45" t="e">
        <f>NA()</f>
        <v>#N/A</v>
      </c>
      <c r="C45" t="e">
        <f>NA()</f>
        <v>#N/A</v>
      </c>
      <c r="D45" t="e">
        <f>NA()</f>
        <v>#N/A</v>
      </c>
      <c r="E45" t="e">
        <f>NA()</f>
        <v>#N/A</v>
      </c>
      <c r="F45" t="e">
        <f>NA()</f>
        <v>#N/A</v>
      </c>
      <c r="G45" t="e">
        <f>NA()</f>
        <v>#N/A</v>
      </c>
    </row>
    <row r="46" spans="1:7">
      <c r="A46">
        <v>1832</v>
      </c>
      <c r="B46" t="e">
        <f>NA()</f>
        <v>#N/A</v>
      </c>
      <c r="C46" t="e">
        <f>NA()</f>
        <v>#N/A</v>
      </c>
      <c r="D46" t="e">
        <f>NA()</f>
        <v>#N/A</v>
      </c>
      <c r="E46" t="e">
        <f>NA()</f>
        <v>#N/A</v>
      </c>
      <c r="F46" t="e">
        <f>NA()</f>
        <v>#N/A</v>
      </c>
      <c r="G46" t="e">
        <f>NA()</f>
        <v>#N/A</v>
      </c>
    </row>
    <row r="47" spans="1:7">
      <c r="A47">
        <v>1833</v>
      </c>
      <c r="B47" t="e">
        <f>NA()</f>
        <v>#N/A</v>
      </c>
      <c r="C47" t="e">
        <f>NA()</f>
        <v>#N/A</v>
      </c>
      <c r="D47" t="e">
        <f>NA()</f>
        <v>#N/A</v>
      </c>
      <c r="E47" t="e">
        <f>NA()</f>
        <v>#N/A</v>
      </c>
      <c r="F47" t="e">
        <f>NA()</f>
        <v>#N/A</v>
      </c>
      <c r="G47" t="e">
        <f>NA()</f>
        <v>#N/A</v>
      </c>
    </row>
    <row r="48" spans="1:7">
      <c r="A48">
        <v>1834</v>
      </c>
      <c r="B48" t="e">
        <f>NA()</f>
        <v>#N/A</v>
      </c>
      <c r="C48" t="e">
        <f>NA()</f>
        <v>#N/A</v>
      </c>
      <c r="D48" t="e">
        <f>NA()</f>
        <v>#N/A</v>
      </c>
      <c r="E48" t="e">
        <f>NA()</f>
        <v>#N/A</v>
      </c>
      <c r="F48" t="e">
        <f>NA()</f>
        <v>#N/A</v>
      </c>
      <c r="G48" t="e">
        <f>NA()</f>
        <v>#N/A</v>
      </c>
    </row>
    <row r="49" spans="1:7">
      <c r="A49">
        <v>1835</v>
      </c>
      <c r="B49" t="e">
        <f>NA()</f>
        <v>#N/A</v>
      </c>
      <c r="C49" t="e">
        <f>NA()</f>
        <v>#N/A</v>
      </c>
      <c r="D49" t="e">
        <f>NA()</f>
        <v>#N/A</v>
      </c>
      <c r="E49" t="e">
        <f>NA()</f>
        <v>#N/A</v>
      </c>
      <c r="F49" t="e">
        <f>NA()</f>
        <v>#N/A</v>
      </c>
      <c r="G49" t="e">
        <f>NA()</f>
        <v>#N/A</v>
      </c>
    </row>
    <row r="50" spans="1:7">
      <c r="A50">
        <v>1836</v>
      </c>
      <c r="B50" t="e">
        <f>NA()</f>
        <v>#N/A</v>
      </c>
      <c r="C50" t="e">
        <f>NA()</f>
        <v>#N/A</v>
      </c>
      <c r="D50" t="e">
        <f>NA()</f>
        <v>#N/A</v>
      </c>
      <c r="E50" t="e">
        <f>NA()</f>
        <v>#N/A</v>
      </c>
      <c r="F50" t="e">
        <f>NA()</f>
        <v>#N/A</v>
      </c>
      <c r="G50" t="e">
        <f>NA()</f>
        <v>#N/A</v>
      </c>
    </row>
    <row r="51" spans="1:7">
      <c r="A51">
        <v>1837</v>
      </c>
      <c r="B51" t="e">
        <f>NA()</f>
        <v>#N/A</v>
      </c>
      <c r="C51" t="e">
        <f>NA()</f>
        <v>#N/A</v>
      </c>
      <c r="D51" t="e">
        <f>NA()</f>
        <v>#N/A</v>
      </c>
      <c r="E51" t="e">
        <f>NA()</f>
        <v>#N/A</v>
      </c>
      <c r="F51" t="e">
        <f>NA()</f>
        <v>#N/A</v>
      </c>
      <c r="G51" t="e">
        <f>NA()</f>
        <v>#N/A</v>
      </c>
    </row>
    <row r="52" spans="1:7">
      <c r="A52">
        <v>1838</v>
      </c>
      <c r="B52" t="e">
        <f>NA()</f>
        <v>#N/A</v>
      </c>
      <c r="C52" t="e">
        <f>NA()</f>
        <v>#N/A</v>
      </c>
      <c r="D52" t="e">
        <f>NA()</f>
        <v>#N/A</v>
      </c>
      <c r="E52" t="e">
        <f>NA()</f>
        <v>#N/A</v>
      </c>
      <c r="F52" t="e">
        <f>NA()</f>
        <v>#N/A</v>
      </c>
      <c r="G52" t="e">
        <f>NA()</f>
        <v>#N/A</v>
      </c>
    </row>
    <row r="53" spans="1:7">
      <c r="A53">
        <v>1839</v>
      </c>
      <c r="B53" t="e">
        <f>NA()</f>
        <v>#N/A</v>
      </c>
      <c r="C53" t="e">
        <f>NA()</f>
        <v>#N/A</v>
      </c>
      <c r="D53" t="e">
        <f>NA()</f>
        <v>#N/A</v>
      </c>
      <c r="E53" t="e">
        <f>NA()</f>
        <v>#N/A</v>
      </c>
      <c r="F53" t="e">
        <f>NA()</f>
        <v>#N/A</v>
      </c>
      <c r="G53" t="e">
        <f>NA()</f>
        <v>#N/A</v>
      </c>
    </row>
    <row r="54" spans="1:7">
      <c r="A54">
        <v>1840</v>
      </c>
      <c r="B54" t="e">
        <f>NA()</f>
        <v>#N/A</v>
      </c>
      <c r="C54" t="e">
        <f>NA()</f>
        <v>#N/A</v>
      </c>
      <c r="D54" t="e">
        <f>NA()</f>
        <v>#N/A</v>
      </c>
      <c r="E54" t="e">
        <f>NA()</f>
        <v>#N/A</v>
      </c>
      <c r="F54" t="e">
        <f>NA()</f>
        <v>#N/A</v>
      </c>
      <c r="G54" t="e">
        <f>NA()</f>
        <v>#N/A</v>
      </c>
    </row>
    <row r="55" spans="1:7">
      <c r="A55">
        <v>1841</v>
      </c>
      <c r="B55" t="e">
        <f>NA()</f>
        <v>#N/A</v>
      </c>
      <c r="C55" t="e">
        <f>NA()</f>
        <v>#N/A</v>
      </c>
      <c r="D55" t="e">
        <f>NA()</f>
        <v>#N/A</v>
      </c>
      <c r="E55" t="e">
        <f>NA()</f>
        <v>#N/A</v>
      </c>
      <c r="F55" t="e">
        <f>NA()</f>
        <v>#N/A</v>
      </c>
      <c r="G55" t="e">
        <f>NA()</f>
        <v>#N/A</v>
      </c>
    </row>
    <row r="56" spans="1:7">
      <c r="A56">
        <v>1842</v>
      </c>
      <c r="B56" t="e">
        <f>NA()</f>
        <v>#N/A</v>
      </c>
      <c r="C56" t="e">
        <f>NA()</f>
        <v>#N/A</v>
      </c>
      <c r="D56" t="e">
        <f>NA()</f>
        <v>#N/A</v>
      </c>
      <c r="E56" t="e">
        <f>NA()</f>
        <v>#N/A</v>
      </c>
      <c r="F56" t="e">
        <f>NA()</f>
        <v>#N/A</v>
      </c>
      <c r="G56" t="e">
        <f>NA()</f>
        <v>#N/A</v>
      </c>
    </row>
    <row r="57" spans="1:7">
      <c r="A57">
        <v>1843</v>
      </c>
      <c r="B57" t="e">
        <f>NA()</f>
        <v>#N/A</v>
      </c>
      <c r="C57" t="e">
        <f>NA()</f>
        <v>#N/A</v>
      </c>
      <c r="D57" t="e">
        <f>NA()</f>
        <v>#N/A</v>
      </c>
      <c r="E57" t="e">
        <f>NA()</f>
        <v>#N/A</v>
      </c>
      <c r="F57" t="e">
        <f>NA()</f>
        <v>#N/A</v>
      </c>
      <c r="G57" t="e">
        <f>NA()</f>
        <v>#N/A</v>
      </c>
    </row>
    <row r="58" spans="1:7">
      <c r="A58">
        <v>1844</v>
      </c>
      <c r="B58" t="e">
        <f>NA()</f>
        <v>#N/A</v>
      </c>
      <c r="C58" t="e">
        <f>NA()</f>
        <v>#N/A</v>
      </c>
      <c r="D58" t="e">
        <f>NA()</f>
        <v>#N/A</v>
      </c>
      <c r="E58" t="e">
        <f>NA()</f>
        <v>#N/A</v>
      </c>
      <c r="F58" t="e">
        <f>NA()</f>
        <v>#N/A</v>
      </c>
      <c r="G58" t="e">
        <f>NA()</f>
        <v>#N/A</v>
      </c>
    </row>
    <row r="59" spans="1:7">
      <c r="A59">
        <v>1845</v>
      </c>
      <c r="B59" t="e">
        <f>NA()</f>
        <v>#N/A</v>
      </c>
      <c r="C59" t="e">
        <f>NA()</f>
        <v>#N/A</v>
      </c>
      <c r="D59" t="e">
        <f>NA()</f>
        <v>#N/A</v>
      </c>
      <c r="E59" t="e">
        <f>NA()</f>
        <v>#N/A</v>
      </c>
      <c r="F59" t="e">
        <f>NA()</f>
        <v>#N/A</v>
      </c>
      <c r="G59" t="e">
        <f>NA()</f>
        <v>#N/A</v>
      </c>
    </row>
    <row r="60" spans="1:7">
      <c r="A60">
        <v>1846</v>
      </c>
      <c r="B60" t="e">
        <f>NA()</f>
        <v>#N/A</v>
      </c>
      <c r="C60" t="e">
        <f>NA()</f>
        <v>#N/A</v>
      </c>
      <c r="D60" t="e">
        <f>NA()</f>
        <v>#N/A</v>
      </c>
      <c r="E60" t="e">
        <f>NA()</f>
        <v>#N/A</v>
      </c>
      <c r="F60" t="e">
        <f>NA()</f>
        <v>#N/A</v>
      </c>
      <c r="G60" t="e">
        <f>NA()</f>
        <v>#N/A</v>
      </c>
    </row>
    <row r="61" spans="1:7">
      <c r="A61">
        <v>1847</v>
      </c>
      <c r="B61" t="e">
        <f>NA()</f>
        <v>#N/A</v>
      </c>
      <c r="C61" t="e">
        <f>NA()</f>
        <v>#N/A</v>
      </c>
      <c r="D61" t="e">
        <f>NA()</f>
        <v>#N/A</v>
      </c>
      <c r="E61" t="e">
        <f>NA()</f>
        <v>#N/A</v>
      </c>
      <c r="F61" t="e">
        <f>NA()</f>
        <v>#N/A</v>
      </c>
      <c r="G61" t="e">
        <f>NA()</f>
        <v>#N/A</v>
      </c>
    </row>
    <row r="62" spans="1:7">
      <c r="A62">
        <v>1848</v>
      </c>
      <c r="B62" t="e">
        <f>NA()</f>
        <v>#N/A</v>
      </c>
      <c r="C62" t="e">
        <f>NA()</f>
        <v>#N/A</v>
      </c>
      <c r="D62" t="e">
        <f>NA()</f>
        <v>#N/A</v>
      </c>
      <c r="E62" t="e">
        <f>NA()</f>
        <v>#N/A</v>
      </c>
      <c r="F62" t="e">
        <f>NA()</f>
        <v>#N/A</v>
      </c>
      <c r="G62" t="e">
        <f>NA()</f>
        <v>#N/A</v>
      </c>
    </row>
    <row r="63" spans="1:7">
      <c r="A63">
        <v>1849</v>
      </c>
      <c r="B63" t="e">
        <f>NA()</f>
        <v>#N/A</v>
      </c>
      <c r="C63" t="e">
        <f>NA()</f>
        <v>#N/A</v>
      </c>
      <c r="D63" t="e">
        <f>NA()</f>
        <v>#N/A</v>
      </c>
      <c r="E63" t="e">
        <f>NA()</f>
        <v>#N/A</v>
      </c>
      <c r="F63" t="e">
        <f>NA()</f>
        <v>#N/A</v>
      </c>
      <c r="G63" t="e">
        <f>NA()</f>
        <v>#N/A</v>
      </c>
    </row>
    <row r="64" spans="1:7">
      <c r="A64">
        <v>1850</v>
      </c>
      <c r="B64" t="e">
        <f>NA()</f>
        <v>#N/A</v>
      </c>
      <c r="C64" t="e">
        <f>NA()</f>
        <v>#N/A</v>
      </c>
      <c r="D64" t="e">
        <f>NA()</f>
        <v>#N/A</v>
      </c>
      <c r="E64" t="e">
        <f>NA()</f>
        <v>#N/A</v>
      </c>
      <c r="F64" t="e">
        <f>NA()</f>
        <v>#N/A</v>
      </c>
      <c r="G64" t="e">
        <f>NA()</f>
        <v>#N/A</v>
      </c>
    </row>
    <row r="65" spans="1:7">
      <c r="A65">
        <v>1851</v>
      </c>
      <c r="B65" t="e">
        <f>NA()</f>
        <v>#N/A</v>
      </c>
      <c r="C65" t="e">
        <f>NA()</f>
        <v>#N/A</v>
      </c>
      <c r="D65" t="e">
        <f>NA()</f>
        <v>#N/A</v>
      </c>
      <c r="E65" t="e">
        <f>NA()</f>
        <v>#N/A</v>
      </c>
      <c r="F65" t="e">
        <f>NA()</f>
        <v>#N/A</v>
      </c>
      <c r="G65" t="e">
        <f>NA()</f>
        <v>#N/A</v>
      </c>
    </row>
    <row r="66" spans="1:7">
      <c r="A66">
        <v>1852</v>
      </c>
      <c r="B66" t="e">
        <f>NA()</f>
        <v>#N/A</v>
      </c>
      <c r="C66" t="e">
        <f>NA()</f>
        <v>#N/A</v>
      </c>
      <c r="D66" t="e">
        <f>NA()</f>
        <v>#N/A</v>
      </c>
      <c r="E66" t="e">
        <f>NA()</f>
        <v>#N/A</v>
      </c>
      <c r="F66" t="e">
        <f>NA()</f>
        <v>#N/A</v>
      </c>
      <c r="G66" t="e">
        <f>NA()</f>
        <v>#N/A</v>
      </c>
    </row>
    <row r="67" spans="1:7">
      <c r="A67">
        <v>1853</v>
      </c>
      <c r="B67" t="e">
        <f>NA()</f>
        <v>#N/A</v>
      </c>
      <c r="C67" t="e">
        <f>NA()</f>
        <v>#N/A</v>
      </c>
      <c r="D67" t="e">
        <f>NA()</f>
        <v>#N/A</v>
      </c>
      <c r="E67" t="e">
        <f>NA()</f>
        <v>#N/A</v>
      </c>
      <c r="F67" t="e">
        <f>NA()</f>
        <v>#N/A</v>
      </c>
      <c r="G67" t="e">
        <f>NA()</f>
        <v>#N/A</v>
      </c>
    </row>
    <row r="68" spans="1:7">
      <c r="A68">
        <v>1854</v>
      </c>
      <c r="B68" t="e">
        <f>NA()</f>
        <v>#N/A</v>
      </c>
      <c r="C68" t="e">
        <f>NA()</f>
        <v>#N/A</v>
      </c>
      <c r="D68" t="e">
        <f>NA()</f>
        <v>#N/A</v>
      </c>
      <c r="E68" t="e">
        <f>NA()</f>
        <v>#N/A</v>
      </c>
      <c r="F68" t="e">
        <f>NA()</f>
        <v>#N/A</v>
      </c>
      <c r="G68" t="e">
        <f>NA()</f>
        <v>#N/A</v>
      </c>
    </row>
    <row r="69" spans="1:7">
      <c r="A69">
        <v>1855</v>
      </c>
      <c r="B69" t="e">
        <f>NA()</f>
        <v>#N/A</v>
      </c>
      <c r="C69" t="e">
        <f>NA()</f>
        <v>#N/A</v>
      </c>
      <c r="D69" t="e">
        <f>NA()</f>
        <v>#N/A</v>
      </c>
      <c r="E69" t="e">
        <f>NA()</f>
        <v>#N/A</v>
      </c>
      <c r="F69" t="e">
        <f>NA()</f>
        <v>#N/A</v>
      </c>
      <c r="G69" t="e">
        <f>NA()</f>
        <v>#N/A</v>
      </c>
    </row>
    <row r="70" spans="1:7">
      <c r="A70">
        <v>1856</v>
      </c>
      <c r="B70" t="e">
        <f>NA()</f>
        <v>#N/A</v>
      </c>
      <c r="C70" t="e">
        <f>NA()</f>
        <v>#N/A</v>
      </c>
      <c r="D70" t="e">
        <f>NA()</f>
        <v>#N/A</v>
      </c>
      <c r="E70" t="e">
        <f>NA()</f>
        <v>#N/A</v>
      </c>
      <c r="F70" t="e">
        <f>NA()</f>
        <v>#N/A</v>
      </c>
      <c r="G70" t="e">
        <f>NA()</f>
        <v>#N/A</v>
      </c>
    </row>
    <row r="71" spans="1:7">
      <c r="A71">
        <v>1857</v>
      </c>
      <c r="B71" t="e">
        <f>NA()</f>
        <v>#N/A</v>
      </c>
      <c r="C71" t="e">
        <f>NA()</f>
        <v>#N/A</v>
      </c>
      <c r="D71" t="e">
        <f>NA()</f>
        <v>#N/A</v>
      </c>
      <c r="E71" t="e">
        <f>NA()</f>
        <v>#N/A</v>
      </c>
      <c r="F71" t="e">
        <f>NA()</f>
        <v>#N/A</v>
      </c>
      <c r="G71" t="e">
        <f>NA()</f>
        <v>#N/A</v>
      </c>
    </row>
    <row r="72" spans="1:7">
      <c r="A72">
        <v>1858</v>
      </c>
      <c r="B72" t="e">
        <f>NA()</f>
        <v>#N/A</v>
      </c>
      <c r="C72" t="e">
        <f>NA()</f>
        <v>#N/A</v>
      </c>
      <c r="D72" t="e">
        <f>NA()</f>
        <v>#N/A</v>
      </c>
      <c r="E72" t="e">
        <f>NA()</f>
        <v>#N/A</v>
      </c>
      <c r="F72" t="e">
        <f>NA()</f>
        <v>#N/A</v>
      </c>
      <c r="G72" t="e">
        <f>NA()</f>
        <v>#N/A</v>
      </c>
    </row>
    <row r="73" spans="1:7">
      <c r="A73">
        <v>1859</v>
      </c>
      <c r="B73" t="e">
        <f>NA()</f>
        <v>#N/A</v>
      </c>
      <c r="C73" t="e">
        <f>NA()</f>
        <v>#N/A</v>
      </c>
      <c r="D73" t="e">
        <f>NA()</f>
        <v>#N/A</v>
      </c>
      <c r="E73" t="e">
        <f>NA()</f>
        <v>#N/A</v>
      </c>
      <c r="F73" t="e">
        <f>NA()</f>
        <v>#N/A</v>
      </c>
      <c r="G73" t="e">
        <f>NA()</f>
        <v>#N/A</v>
      </c>
    </row>
    <row r="74" spans="1:7">
      <c r="A74">
        <v>1860</v>
      </c>
      <c r="B74" t="e">
        <f>NA()</f>
        <v>#N/A</v>
      </c>
      <c r="C74" t="e">
        <f>NA()</f>
        <v>#N/A</v>
      </c>
      <c r="D74" t="e">
        <f>NA()</f>
        <v>#N/A</v>
      </c>
      <c r="E74" t="e">
        <f>NA()</f>
        <v>#N/A</v>
      </c>
      <c r="F74" t="e">
        <f>NA()</f>
        <v>#N/A</v>
      </c>
      <c r="G74" t="e">
        <f>NA()</f>
        <v>#N/A</v>
      </c>
    </row>
    <row r="75" spans="1:7">
      <c r="A75">
        <v>1861</v>
      </c>
      <c r="B75" t="e">
        <f>NA()</f>
        <v>#N/A</v>
      </c>
      <c r="C75" t="e">
        <f>NA()</f>
        <v>#N/A</v>
      </c>
      <c r="D75" t="e">
        <f>NA()</f>
        <v>#N/A</v>
      </c>
      <c r="E75" t="e">
        <f>NA()</f>
        <v>#N/A</v>
      </c>
      <c r="F75" t="e">
        <f>NA()</f>
        <v>#N/A</v>
      </c>
      <c r="G75" t="e">
        <f>NA()</f>
        <v>#N/A</v>
      </c>
    </row>
    <row r="76" spans="1:7">
      <c r="A76">
        <v>1862</v>
      </c>
      <c r="B76" t="e">
        <f>NA()</f>
        <v>#N/A</v>
      </c>
      <c r="C76" t="e">
        <f>NA()</f>
        <v>#N/A</v>
      </c>
      <c r="D76" t="e">
        <f>NA()</f>
        <v>#N/A</v>
      </c>
      <c r="E76" t="e">
        <f>NA()</f>
        <v>#N/A</v>
      </c>
      <c r="F76" t="e">
        <f>NA()</f>
        <v>#N/A</v>
      </c>
      <c r="G76" t="e">
        <f>NA()</f>
        <v>#N/A</v>
      </c>
    </row>
    <row r="77" spans="1:7">
      <c r="A77">
        <v>1863</v>
      </c>
      <c r="B77" t="e">
        <f>NA()</f>
        <v>#N/A</v>
      </c>
      <c r="C77" t="e">
        <f>NA()</f>
        <v>#N/A</v>
      </c>
      <c r="D77" t="e">
        <f>NA()</f>
        <v>#N/A</v>
      </c>
      <c r="E77" t="e">
        <f>NA()</f>
        <v>#N/A</v>
      </c>
      <c r="F77" t="e">
        <f>NA()</f>
        <v>#N/A</v>
      </c>
      <c r="G77" t="e">
        <f>NA()</f>
        <v>#N/A</v>
      </c>
    </row>
    <row r="78" spans="1:7">
      <c r="A78">
        <v>1864</v>
      </c>
      <c r="B78" t="e">
        <f>NA()</f>
        <v>#N/A</v>
      </c>
      <c r="C78" t="e">
        <f>NA()</f>
        <v>#N/A</v>
      </c>
      <c r="D78" t="e">
        <f>NA()</f>
        <v>#N/A</v>
      </c>
      <c r="E78" t="e">
        <f>NA()</f>
        <v>#N/A</v>
      </c>
      <c r="F78" t="e">
        <f>NA()</f>
        <v>#N/A</v>
      </c>
      <c r="G78" t="e">
        <f>NA()</f>
        <v>#N/A</v>
      </c>
    </row>
    <row r="79" spans="1:7">
      <c r="A79">
        <v>1865</v>
      </c>
      <c r="B79" t="e">
        <f>NA()</f>
        <v>#N/A</v>
      </c>
      <c r="C79" t="e">
        <f>NA()</f>
        <v>#N/A</v>
      </c>
      <c r="D79" t="e">
        <f>NA()</f>
        <v>#N/A</v>
      </c>
      <c r="E79" t="e">
        <f>NA()</f>
        <v>#N/A</v>
      </c>
      <c r="F79" t="e">
        <f>NA()</f>
        <v>#N/A</v>
      </c>
      <c r="G79" t="e">
        <f>NA()</f>
        <v>#N/A</v>
      </c>
    </row>
    <row r="80" spans="1:7">
      <c r="A80">
        <v>1866</v>
      </c>
      <c r="B80" t="e">
        <f>NA()</f>
        <v>#N/A</v>
      </c>
      <c r="C80" t="e">
        <f>NA()</f>
        <v>#N/A</v>
      </c>
      <c r="D80" t="e">
        <f>NA()</f>
        <v>#N/A</v>
      </c>
      <c r="E80" t="e">
        <f>NA()</f>
        <v>#N/A</v>
      </c>
      <c r="F80" t="e">
        <f>NA()</f>
        <v>#N/A</v>
      </c>
      <c r="G80" t="e">
        <f>NA()</f>
        <v>#N/A</v>
      </c>
    </row>
    <row r="81" spans="1:7">
      <c r="A81">
        <v>1867</v>
      </c>
      <c r="B81" t="e">
        <f>NA()</f>
        <v>#N/A</v>
      </c>
      <c r="C81" t="e">
        <f>NA()</f>
        <v>#N/A</v>
      </c>
      <c r="D81" t="e">
        <f>NA()</f>
        <v>#N/A</v>
      </c>
      <c r="E81" t="e">
        <f>NA()</f>
        <v>#N/A</v>
      </c>
      <c r="F81" t="e">
        <f>NA()</f>
        <v>#N/A</v>
      </c>
      <c r="G81" t="e">
        <f>NA()</f>
        <v>#N/A</v>
      </c>
    </row>
    <row r="82" spans="1:7">
      <c r="A82">
        <v>1868</v>
      </c>
      <c r="B82" t="e">
        <f>NA()</f>
        <v>#N/A</v>
      </c>
      <c r="C82" t="e">
        <f>NA()</f>
        <v>#N/A</v>
      </c>
      <c r="D82" t="e">
        <f>NA()</f>
        <v>#N/A</v>
      </c>
      <c r="E82" t="e">
        <f>NA()</f>
        <v>#N/A</v>
      </c>
      <c r="F82" t="e">
        <f>NA()</f>
        <v>#N/A</v>
      </c>
      <c r="G82" t="e">
        <f>NA()</f>
        <v>#N/A</v>
      </c>
    </row>
    <row r="83" spans="1:7">
      <c r="A83">
        <v>1869</v>
      </c>
      <c r="B83" t="e">
        <f>NA()</f>
        <v>#N/A</v>
      </c>
      <c r="C83" t="e">
        <f>NA()</f>
        <v>#N/A</v>
      </c>
      <c r="D83" t="e">
        <f>NA()</f>
        <v>#N/A</v>
      </c>
      <c r="E83" t="e">
        <f>NA()</f>
        <v>#N/A</v>
      </c>
      <c r="F83" t="e">
        <f>NA()</f>
        <v>#N/A</v>
      </c>
      <c r="G83" t="e">
        <f>NA()</f>
        <v>#N/A</v>
      </c>
    </row>
    <row r="84" spans="1:7">
      <c r="A84">
        <v>1870</v>
      </c>
      <c r="B84" t="e">
        <f>NA()</f>
        <v>#N/A</v>
      </c>
      <c r="C84" t="e">
        <f>NA()</f>
        <v>#N/A</v>
      </c>
      <c r="D84" t="e">
        <f>NA()</f>
        <v>#N/A</v>
      </c>
      <c r="E84" t="e">
        <f>NA()</f>
        <v>#N/A</v>
      </c>
      <c r="F84" t="e">
        <f>NA()</f>
        <v>#N/A</v>
      </c>
      <c r="G84" t="e">
        <f>NA()</f>
        <v>#N/A</v>
      </c>
    </row>
    <row r="85" spans="1:7">
      <c r="A85">
        <v>1871</v>
      </c>
      <c r="B85" t="e">
        <f>NA()</f>
        <v>#N/A</v>
      </c>
      <c r="C85" t="e">
        <f>NA()</f>
        <v>#N/A</v>
      </c>
      <c r="D85" t="e">
        <f>NA()</f>
        <v>#N/A</v>
      </c>
      <c r="E85" t="e">
        <f>NA()</f>
        <v>#N/A</v>
      </c>
      <c r="F85" t="e">
        <f>NA()</f>
        <v>#N/A</v>
      </c>
      <c r="G85" t="e">
        <f>NA()</f>
        <v>#N/A</v>
      </c>
    </row>
    <row r="86" spans="1:7">
      <c r="A86">
        <v>1872</v>
      </c>
      <c r="B86" t="e">
        <f>NA()</f>
        <v>#N/A</v>
      </c>
      <c r="C86" t="e">
        <f>NA()</f>
        <v>#N/A</v>
      </c>
      <c r="D86" t="e">
        <f>NA()</f>
        <v>#N/A</v>
      </c>
      <c r="E86" t="e">
        <f>NA()</f>
        <v>#N/A</v>
      </c>
      <c r="F86" t="e">
        <f>NA()</f>
        <v>#N/A</v>
      </c>
      <c r="G86" t="e">
        <f>NA()</f>
        <v>#N/A</v>
      </c>
    </row>
    <row r="87" spans="1:7">
      <c r="A87">
        <v>1873</v>
      </c>
      <c r="B87" t="e">
        <f>NA()</f>
        <v>#N/A</v>
      </c>
      <c r="C87" t="e">
        <f>NA()</f>
        <v>#N/A</v>
      </c>
      <c r="D87" t="e">
        <f>NA()</f>
        <v>#N/A</v>
      </c>
      <c r="E87" t="e">
        <f>NA()</f>
        <v>#N/A</v>
      </c>
      <c r="F87" t="e">
        <f>NA()</f>
        <v>#N/A</v>
      </c>
      <c r="G87" t="e">
        <f>NA()</f>
        <v>#N/A</v>
      </c>
    </row>
    <row r="88" spans="1:7">
      <c r="A88">
        <v>1874</v>
      </c>
      <c r="B88" t="e">
        <f>NA()</f>
        <v>#N/A</v>
      </c>
      <c r="C88" t="e">
        <f>NA()</f>
        <v>#N/A</v>
      </c>
      <c r="D88" t="e">
        <f>NA()</f>
        <v>#N/A</v>
      </c>
      <c r="E88" t="e">
        <f>NA()</f>
        <v>#N/A</v>
      </c>
      <c r="F88" t="e">
        <f>NA()</f>
        <v>#N/A</v>
      </c>
      <c r="G88" t="e">
        <f>NA()</f>
        <v>#N/A</v>
      </c>
    </row>
    <row r="89" spans="1:7">
      <c r="A89">
        <v>1875</v>
      </c>
      <c r="B89" t="e">
        <f>NA()</f>
        <v>#N/A</v>
      </c>
      <c r="C89" t="e">
        <f>NA()</f>
        <v>#N/A</v>
      </c>
      <c r="D89" t="e">
        <f>NA()</f>
        <v>#N/A</v>
      </c>
      <c r="E89" t="e">
        <f>NA()</f>
        <v>#N/A</v>
      </c>
      <c r="F89" t="e">
        <f>NA()</f>
        <v>#N/A</v>
      </c>
      <c r="G89" t="e">
        <f>NA()</f>
        <v>#N/A</v>
      </c>
    </row>
    <row r="90" spans="1:7">
      <c r="A90">
        <v>1876</v>
      </c>
      <c r="B90" t="e">
        <f>NA()</f>
        <v>#N/A</v>
      </c>
      <c r="C90" t="e">
        <f>NA()</f>
        <v>#N/A</v>
      </c>
      <c r="D90" t="e">
        <f>NA()</f>
        <v>#N/A</v>
      </c>
      <c r="E90" t="e">
        <f>NA()</f>
        <v>#N/A</v>
      </c>
      <c r="F90" t="e">
        <f>NA()</f>
        <v>#N/A</v>
      </c>
      <c r="G90" t="e">
        <f>NA()</f>
        <v>#N/A</v>
      </c>
    </row>
    <row r="91" spans="1:7">
      <c r="A91">
        <v>1877</v>
      </c>
      <c r="B91" t="e">
        <f>NA()</f>
        <v>#N/A</v>
      </c>
      <c r="C91" t="e">
        <f>NA()</f>
        <v>#N/A</v>
      </c>
      <c r="D91" t="e">
        <f>NA()</f>
        <v>#N/A</v>
      </c>
      <c r="E91" t="e">
        <f>NA()</f>
        <v>#N/A</v>
      </c>
      <c r="F91" t="e">
        <f>NA()</f>
        <v>#N/A</v>
      </c>
      <c r="G91" t="e">
        <f>NA()</f>
        <v>#N/A</v>
      </c>
    </row>
    <row r="92" spans="1:7">
      <c r="A92">
        <v>1878</v>
      </c>
      <c r="B92" t="e">
        <f>NA()</f>
        <v>#N/A</v>
      </c>
      <c r="C92" t="e">
        <f>NA()</f>
        <v>#N/A</v>
      </c>
      <c r="D92" t="e">
        <f>NA()</f>
        <v>#N/A</v>
      </c>
      <c r="E92" t="e">
        <f>NA()</f>
        <v>#N/A</v>
      </c>
      <c r="F92" t="e">
        <f>NA()</f>
        <v>#N/A</v>
      </c>
      <c r="G92" t="e">
        <f>NA()</f>
        <v>#N/A</v>
      </c>
    </row>
    <row r="93" spans="1:7">
      <c r="A93">
        <v>1879</v>
      </c>
      <c r="B93" t="e">
        <f>NA()</f>
        <v>#N/A</v>
      </c>
      <c r="C93" t="e">
        <f>NA()</f>
        <v>#N/A</v>
      </c>
      <c r="D93" t="e">
        <f>NA()</f>
        <v>#N/A</v>
      </c>
      <c r="E93" t="e">
        <f>NA()</f>
        <v>#N/A</v>
      </c>
      <c r="F93" t="e">
        <f>NA()</f>
        <v>#N/A</v>
      </c>
      <c r="G93" t="e">
        <f>NA()</f>
        <v>#N/A</v>
      </c>
    </row>
    <row r="94" spans="1:7">
      <c r="A94">
        <v>1880</v>
      </c>
      <c r="B94" t="e">
        <f>NA()</f>
        <v>#N/A</v>
      </c>
      <c r="C94" t="e">
        <f>NA()</f>
        <v>#N/A</v>
      </c>
      <c r="D94" t="e">
        <f>NA()</f>
        <v>#N/A</v>
      </c>
      <c r="E94" t="e">
        <f>NA()</f>
        <v>#N/A</v>
      </c>
      <c r="F94" t="e">
        <f>NA()</f>
        <v>#N/A</v>
      </c>
      <c r="G94" t="e">
        <f>NA()</f>
        <v>#N/A</v>
      </c>
    </row>
    <row r="95" spans="1:7">
      <c r="A95">
        <v>1881</v>
      </c>
      <c r="B95" t="e">
        <f>NA()</f>
        <v>#N/A</v>
      </c>
      <c r="C95" t="e">
        <f>NA()</f>
        <v>#N/A</v>
      </c>
      <c r="D95" t="e">
        <f>NA()</f>
        <v>#N/A</v>
      </c>
      <c r="E95" t="e">
        <f>NA()</f>
        <v>#N/A</v>
      </c>
      <c r="F95" t="e">
        <f>NA()</f>
        <v>#N/A</v>
      </c>
      <c r="G95" t="e">
        <f>NA()</f>
        <v>#N/A</v>
      </c>
    </row>
    <row r="96" spans="1:7">
      <c r="A96">
        <v>1882</v>
      </c>
      <c r="B96" t="e">
        <f>NA()</f>
        <v>#N/A</v>
      </c>
      <c r="C96" t="e">
        <f>NA()</f>
        <v>#N/A</v>
      </c>
      <c r="D96" t="e">
        <f>NA()</f>
        <v>#N/A</v>
      </c>
      <c r="E96" t="e">
        <f>NA()</f>
        <v>#N/A</v>
      </c>
      <c r="F96" t="e">
        <f>NA()</f>
        <v>#N/A</v>
      </c>
      <c r="G96" t="e">
        <f>NA()</f>
        <v>#N/A</v>
      </c>
    </row>
    <row r="97" spans="1:7">
      <c r="A97">
        <v>1883</v>
      </c>
      <c r="B97" t="e">
        <f>NA()</f>
        <v>#N/A</v>
      </c>
      <c r="C97" t="e">
        <f>NA()</f>
        <v>#N/A</v>
      </c>
      <c r="D97" t="e">
        <f>NA()</f>
        <v>#N/A</v>
      </c>
      <c r="E97" t="e">
        <f>NA()</f>
        <v>#N/A</v>
      </c>
      <c r="F97" t="e">
        <f>NA()</f>
        <v>#N/A</v>
      </c>
      <c r="G97" t="e">
        <f>NA()</f>
        <v>#N/A</v>
      </c>
    </row>
    <row r="98" spans="1:7">
      <c r="A98">
        <v>1884</v>
      </c>
      <c r="B98" t="e">
        <f>NA()</f>
        <v>#N/A</v>
      </c>
      <c r="C98" t="e">
        <f>NA()</f>
        <v>#N/A</v>
      </c>
      <c r="D98" t="e">
        <f>NA()</f>
        <v>#N/A</v>
      </c>
      <c r="E98" t="e">
        <f>NA()</f>
        <v>#N/A</v>
      </c>
      <c r="F98" t="e">
        <f>NA()</f>
        <v>#N/A</v>
      </c>
      <c r="G98" t="e">
        <f>NA()</f>
        <v>#N/A</v>
      </c>
    </row>
    <row r="99" spans="1:7">
      <c r="A99">
        <v>1885</v>
      </c>
      <c r="B99" t="e">
        <f>NA()</f>
        <v>#N/A</v>
      </c>
      <c r="C99" t="e">
        <f>NA()</f>
        <v>#N/A</v>
      </c>
      <c r="D99" t="e">
        <f>NA()</f>
        <v>#N/A</v>
      </c>
      <c r="E99" t="e">
        <f>NA()</f>
        <v>#N/A</v>
      </c>
      <c r="F99" t="e">
        <f>NA()</f>
        <v>#N/A</v>
      </c>
      <c r="G99" t="e">
        <f>NA()</f>
        <v>#N/A</v>
      </c>
    </row>
    <row r="100" spans="1:7">
      <c r="A100">
        <v>1886</v>
      </c>
      <c r="B100" t="e">
        <f>NA()</f>
        <v>#N/A</v>
      </c>
      <c r="C100" t="e">
        <f>NA()</f>
        <v>#N/A</v>
      </c>
      <c r="D100" t="e">
        <f>NA()</f>
        <v>#N/A</v>
      </c>
      <c r="E100" t="e">
        <f>NA()</f>
        <v>#N/A</v>
      </c>
      <c r="F100" t="e">
        <f>NA()</f>
        <v>#N/A</v>
      </c>
      <c r="G100" t="e">
        <f>NA()</f>
        <v>#N/A</v>
      </c>
    </row>
    <row r="101" spans="1:7">
      <c r="A101">
        <v>1887</v>
      </c>
      <c r="B101" t="e">
        <f>NA()</f>
        <v>#N/A</v>
      </c>
      <c r="C101" t="e">
        <f>NA()</f>
        <v>#N/A</v>
      </c>
      <c r="D101" t="e">
        <f>NA()</f>
        <v>#N/A</v>
      </c>
      <c r="E101" t="e">
        <f>NA()</f>
        <v>#N/A</v>
      </c>
      <c r="F101" t="e">
        <f>NA()</f>
        <v>#N/A</v>
      </c>
      <c r="G101" t="e">
        <f>NA()</f>
        <v>#N/A</v>
      </c>
    </row>
    <row r="102" spans="1:7">
      <c r="A102">
        <v>1888</v>
      </c>
      <c r="B102" t="e">
        <f>NA()</f>
        <v>#N/A</v>
      </c>
      <c r="C102" t="e">
        <f>NA()</f>
        <v>#N/A</v>
      </c>
      <c r="D102" t="e">
        <f>NA()</f>
        <v>#N/A</v>
      </c>
      <c r="E102" t="e">
        <f>NA()</f>
        <v>#N/A</v>
      </c>
      <c r="F102" t="e">
        <f>NA()</f>
        <v>#N/A</v>
      </c>
      <c r="G102" t="e">
        <f>NA()</f>
        <v>#N/A</v>
      </c>
    </row>
    <row r="103" spans="1:7">
      <c r="A103">
        <v>1889</v>
      </c>
      <c r="B103" t="e">
        <f>NA()</f>
        <v>#N/A</v>
      </c>
      <c r="C103" t="e">
        <f>NA()</f>
        <v>#N/A</v>
      </c>
      <c r="D103" t="e">
        <f>NA()</f>
        <v>#N/A</v>
      </c>
      <c r="E103" t="e">
        <f>NA()</f>
        <v>#N/A</v>
      </c>
      <c r="F103" t="e">
        <f>NA()</f>
        <v>#N/A</v>
      </c>
      <c r="G103" t="e">
        <f>NA()</f>
        <v>#N/A</v>
      </c>
    </row>
    <row r="104" spans="1:7">
      <c r="A104">
        <v>1890</v>
      </c>
      <c r="B104" t="e">
        <f>NA()</f>
        <v>#N/A</v>
      </c>
      <c r="C104" t="e">
        <f>NA()</f>
        <v>#N/A</v>
      </c>
      <c r="D104" t="e">
        <f>NA()</f>
        <v>#N/A</v>
      </c>
      <c r="E104" t="e">
        <f>NA()</f>
        <v>#N/A</v>
      </c>
      <c r="F104" t="e">
        <f>NA()</f>
        <v>#N/A</v>
      </c>
      <c r="G104" t="e">
        <f>NA()</f>
        <v>#N/A</v>
      </c>
    </row>
    <row r="105" spans="1:7">
      <c r="A105">
        <v>1891</v>
      </c>
      <c r="B105" t="e">
        <f>NA()</f>
        <v>#N/A</v>
      </c>
      <c r="C105" t="e">
        <f>NA()</f>
        <v>#N/A</v>
      </c>
      <c r="D105" t="e">
        <f>NA()</f>
        <v>#N/A</v>
      </c>
      <c r="E105" t="e">
        <f>NA()</f>
        <v>#N/A</v>
      </c>
      <c r="F105" t="e">
        <f>NA()</f>
        <v>#N/A</v>
      </c>
      <c r="G105" t="e">
        <f>NA()</f>
        <v>#N/A</v>
      </c>
    </row>
    <row r="106" spans="1:7">
      <c r="A106">
        <v>1892</v>
      </c>
      <c r="B106" t="e">
        <f>NA()</f>
        <v>#N/A</v>
      </c>
      <c r="C106" t="e">
        <f>NA()</f>
        <v>#N/A</v>
      </c>
      <c r="D106" t="e">
        <f>NA()</f>
        <v>#N/A</v>
      </c>
      <c r="E106" t="e">
        <f>NA()</f>
        <v>#N/A</v>
      </c>
      <c r="F106" t="e">
        <f>NA()</f>
        <v>#N/A</v>
      </c>
      <c r="G106" t="e">
        <f>NA()</f>
        <v>#N/A</v>
      </c>
    </row>
    <row r="107" spans="1:7">
      <c r="A107">
        <v>1893</v>
      </c>
      <c r="B107" t="e">
        <f>NA()</f>
        <v>#N/A</v>
      </c>
      <c r="C107" t="e">
        <f>NA()</f>
        <v>#N/A</v>
      </c>
      <c r="D107" t="e">
        <f>NA()</f>
        <v>#N/A</v>
      </c>
      <c r="E107" t="e">
        <f>NA()</f>
        <v>#N/A</v>
      </c>
      <c r="F107" t="e">
        <f>NA()</f>
        <v>#N/A</v>
      </c>
      <c r="G107" t="e">
        <f>NA()</f>
        <v>#N/A</v>
      </c>
    </row>
    <row r="108" spans="1:7">
      <c r="A108">
        <v>1894</v>
      </c>
      <c r="B108" t="e">
        <f>NA()</f>
        <v>#N/A</v>
      </c>
      <c r="C108" t="e">
        <f>NA()</f>
        <v>#N/A</v>
      </c>
      <c r="D108" t="e">
        <f>NA()</f>
        <v>#N/A</v>
      </c>
      <c r="E108" t="e">
        <f>NA()</f>
        <v>#N/A</v>
      </c>
      <c r="F108" t="e">
        <f>NA()</f>
        <v>#N/A</v>
      </c>
      <c r="G108" t="e">
        <f>NA()</f>
        <v>#N/A</v>
      </c>
    </row>
    <row r="109" spans="1:7">
      <c r="A109">
        <v>1895</v>
      </c>
      <c r="B109" t="e">
        <f>NA()</f>
        <v>#N/A</v>
      </c>
      <c r="C109" t="e">
        <f>NA()</f>
        <v>#N/A</v>
      </c>
      <c r="D109" t="e">
        <f>NA()</f>
        <v>#N/A</v>
      </c>
      <c r="E109" t="e">
        <f>NA()</f>
        <v>#N/A</v>
      </c>
      <c r="F109" t="e">
        <f>NA()</f>
        <v>#N/A</v>
      </c>
      <c r="G109" t="e">
        <f>NA()</f>
        <v>#N/A</v>
      </c>
    </row>
    <row r="110" spans="1:7">
      <c r="A110">
        <v>1896</v>
      </c>
      <c r="B110" t="e">
        <f>NA()</f>
        <v>#N/A</v>
      </c>
      <c r="C110" t="e">
        <f>NA()</f>
        <v>#N/A</v>
      </c>
      <c r="D110" t="e">
        <f>NA()</f>
        <v>#N/A</v>
      </c>
      <c r="E110" t="e">
        <f>NA()</f>
        <v>#N/A</v>
      </c>
      <c r="F110">
        <v>18.420680000000001</v>
      </c>
      <c r="G110" t="e">
        <f>NA()</f>
        <v>#N/A</v>
      </c>
    </row>
    <row r="111" spans="1:7">
      <c r="A111">
        <v>1897</v>
      </c>
      <c r="B111" t="e">
        <f>NA()</f>
        <v>#N/A</v>
      </c>
      <c r="C111" t="e">
        <f>NA()</f>
        <v>#N/A</v>
      </c>
      <c r="D111" t="e">
        <f>NA()</f>
        <v>#N/A</v>
      </c>
      <c r="E111" t="e">
        <f>NA()</f>
        <v>#N/A</v>
      </c>
      <c r="F111">
        <v>18.420680000000001</v>
      </c>
      <c r="G111" t="e">
        <f>NA()</f>
        <v>#N/A</v>
      </c>
    </row>
    <row r="112" spans="1:7">
      <c r="A112">
        <v>1898</v>
      </c>
      <c r="B112" t="e">
        <f>NA()</f>
        <v>#N/A</v>
      </c>
      <c r="C112" t="e">
        <f>NA()</f>
        <v>#N/A</v>
      </c>
      <c r="D112" t="e">
        <f>NA()</f>
        <v>#N/A</v>
      </c>
      <c r="E112" t="e">
        <f>NA()</f>
        <v>#N/A</v>
      </c>
      <c r="F112">
        <v>18.420680000000001</v>
      </c>
      <c r="G112" t="e">
        <f>NA()</f>
        <v>#N/A</v>
      </c>
    </row>
    <row r="113" spans="1:7">
      <c r="A113">
        <v>1899</v>
      </c>
      <c r="B113" t="e">
        <f>NA()</f>
        <v>#N/A</v>
      </c>
      <c r="C113" t="e">
        <f>NA()</f>
        <v>#N/A</v>
      </c>
      <c r="D113" t="e">
        <f>NA()</f>
        <v>#N/A</v>
      </c>
      <c r="E113" t="e">
        <f>NA()</f>
        <v>#N/A</v>
      </c>
      <c r="F113">
        <v>19.11383</v>
      </c>
      <c r="G113" t="e">
        <f>NA()</f>
        <v>#N/A</v>
      </c>
    </row>
    <row r="114" spans="1:7">
      <c r="A114">
        <v>1900</v>
      </c>
      <c r="B114" t="e">
        <f>NA()</f>
        <v>#N/A</v>
      </c>
      <c r="C114" t="e">
        <f>NA()</f>
        <v>#N/A</v>
      </c>
      <c r="D114" t="e">
        <f>NA()</f>
        <v>#N/A</v>
      </c>
      <c r="E114" t="e">
        <f>NA()</f>
        <v>#N/A</v>
      </c>
      <c r="F114">
        <v>19.11383</v>
      </c>
      <c r="G114" t="e">
        <f>NA()</f>
        <v>#N/A</v>
      </c>
    </row>
    <row r="115" spans="1:7">
      <c r="A115">
        <v>1901</v>
      </c>
      <c r="B115" t="e">
        <f>NA()</f>
        <v>#N/A</v>
      </c>
      <c r="C115" t="e">
        <f>NA()</f>
        <v>#N/A</v>
      </c>
      <c r="D115" t="e">
        <f>NA()</f>
        <v>#N/A</v>
      </c>
      <c r="E115" t="e">
        <f>NA()</f>
        <v>#N/A</v>
      </c>
      <c r="F115">
        <v>19.80697</v>
      </c>
      <c r="G115" t="e">
        <f>NA()</f>
        <v>#N/A</v>
      </c>
    </row>
    <row r="116" spans="1:7">
      <c r="A116">
        <v>1902</v>
      </c>
      <c r="B116" t="e">
        <f>NA()</f>
        <v>#N/A</v>
      </c>
      <c r="C116" t="e">
        <f>NA()</f>
        <v>#N/A</v>
      </c>
      <c r="D116" t="e">
        <f>NA()</f>
        <v>#N/A</v>
      </c>
      <c r="E116" t="e">
        <f>NA()</f>
        <v>#N/A</v>
      </c>
      <c r="F116">
        <v>20.03012</v>
      </c>
      <c r="G116">
        <v>22.510010000000001</v>
      </c>
    </row>
    <row r="117" spans="1:7">
      <c r="A117">
        <v>1903</v>
      </c>
      <c r="B117" t="e">
        <f>NA()</f>
        <v>#N/A</v>
      </c>
      <c r="C117" t="e">
        <f>NA()</f>
        <v>#N/A</v>
      </c>
      <c r="D117" t="e">
        <f>NA()</f>
        <v>#N/A</v>
      </c>
      <c r="E117" t="e">
        <f>NA()</f>
        <v>#N/A</v>
      </c>
      <c r="F117">
        <v>20.212440000000001</v>
      </c>
      <c r="G117" t="e">
        <f>NA()</f>
        <v>#N/A</v>
      </c>
    </row>
    <row r="118" spans="1:7">
      <c r="A118">
        <v>1904</v>
      </c>
      <c r="B118" t="e">
        <f>NA()</f>
        <v>#N/A</v>
      </c>
      <c r="C118" t="e">
        <f>NA()</f>
        <v>#N/A</v>
      </c>
      <c r="D118" t="e">
        <f>NA()</f>
        <v>#N/A</v>
      </c>
      <c r="E118" t="e">
        <f>NA()</f>
        <v>#N/A</v>
      </c>
      <c r="F118">
        <v>20.500119999999999</v>
      </c>
      <c r="G118" t="e">
        <f>NA()</f>
        <v>#N/A</v>
      </c>
    </row>
    <row r="119" spans="1:7">
      <c r="A119">
        <v>1905</v>
      </c>
      <c r="B119" t="e">
        <f>NA()</f>
        <v>#N/A</v>
      </c>
      <c r="C119" t="e">
        <f>NA()</f>
        <v>#N/A</v>
      </c>
      <c r="D119" t="e">
        <f>NA()</f>
        <v>#N/A</v>
      </c>
      <c r="E119" t="e">
        <f>NA()</f>
        <v>#N/A</v>
      </c>
      <c r="F119">
        <v>20.723269999999999</v>
      </c>
      <c r="G119" t="e">
        <f>NA()</f>
        <v>#N/A</v>
      </c>
    </row>
    <row r="120" spans="1:7">
      <c r="A120">
        <v>1906</v>
      </c>
      <c r="B120" t="e">
        <f>NA()</f>
        <v>#N/A</v>
      </c>
      <c r="C120" t="e">
        <f>NA()</f>
        <v>#N/A</v>
      </c>
      <c r="D120" t="e">
        <f>NA()</f>
        <v>#N/A</v>
      </c>
      <c r="E120" t="e">
        <f>NA()</f>
        <v>#N/A</v>
      </c>
      <c r="F120">
        <v>20.90559</v>
      </c>
      <c r="G120" t="e">
        <f>NA()</f>
        <v>#N/A</v>
      </c>
    </row>
    <row r="121" spans="1:7">
      <c r="A121">
        <v>1907</v>
      </c>
      <c r="B121">
        <v>19.439530000000001</v>
      </c>
      <c r="C121" t="e">
        <f>NA()</f>
        <v>#N/A</v>
      </c>
      <c r="D121" t="e">
        <f>NA()</f>
        <v>#N/A</v>
      </c>
      <c r="E121" t="e">
        <f>NA()</f>
        <v>#N/A</v>
      </c>
      <c r="F121">
        <v>21.080939999999998</v>
      </c>
      <c r="G121">
        <v>23.369440000000001</v>
      </c>
    </row>
    <row r="122" spans="1:7">
      <c r="A122">
        <v>1908</v>
      </c>
      <c r="B122">
        <v>19.745100000000001</v>
      </c>
      <c r="C122" t="e">
        <f>NA()</f>
        <v>#N/A</v>
      </c>
      <c r="D122" t="e">
        <f>NA()</f>
        <v>#N/A</v>
      </c>
      <c r="E122" t="e">
        <f>NA()</f>
        <v>#N/A</v>
      </c>
      <c r="F122">
        <v>21.193269999999998</v>
      </c>
      <c r="G122" t="e">
        <f>NA()</f>
        <v>#N/A</v>
      </c>
    </row>
    <row r="123" spans="1:7">
      <c r="A123">
        <v>1909</v>
      </c>
      <c r="B123">
        <v>19.902280000000001</v>
      </c>
      <c r="C123" t="e">
        <f>NA()</f>
        <v>#N/A</v>
      </c>
      <c r="D123" t="e">
        <f>NA()</f>
        <v>#N/A</v>
      </c>
      <c r="E123" t="e">
        <f>NA()</f>
        <v>#N/A</v>
      </c>
      <c r="F123">
        <v>21.253889999999998</v>
      </c>
      <c r="G123" t="e">
        <f>NA()</f>
        <v>#N/A</v>
      </c>
    </row>
    <row r="124" spans="1:7">
      <c r="A124">
        <v>1910</v>
      </c>
      <c r="B124">
        <v>20.246839999999999</v>
      </c>
      <c r="C124" t="e">
        <f>NA()</f>
        <v>#N/A</v>
      </c>
      <c r="D124" t="e">
        <f>NA()</f>
        <v>#N/A</v>
      </c>
      <c r="E124" t="e">
        <f>NA()</f>
        <v>#N/A</v>
      </c>
      <c r="F124">
        <v>21.365120000000001</v>
      </c>
      <c r="G124" t="e">
        <f>NA()</f>
        <v>#N/A</v>
      </c>
    </row>
    <row r="125" spans="1:7">
      <c r="A125">
        <v>1911</v>
      </c>
      <c r="B125">
        <v>20.482469999999999</v>
      </c>
      <c r="C125" t="e">
        <f>NA()</f>
        <v>#N/A</v>
      </c>
      <c r="D125" t="e">
        <f>NA()</f>
        <v>#N/A</v>
      </c>
      <c r="E125" t="e">
        <f>NA()</f>
        <v>#N/A</v>
      </c>
      <c r="F125">
        <v>21.465199999999999</v>
      </c>
      <c r="G125" t="e">
        <f>NA()</f>
        <v>#N/A</v>
      </c>
    </row>
    <row r="126" spans="1:7">
      <c r="A126">
        <v>1912</v>
      </c>
      <c r="B126">
        <v>20.854289999999999</v>
      </c>
      <c r="C126" t="e">
        <f>NA()</f>
        <v>#N/A</v>
      </c>
      <c r="D126" t="e">
        <f>NA()</f>
        <v>#N/A</v>
      </c>
      <c r="E126" t="e">
        <f>NA()</f>
        <v>#N/A</v>
      </c>
      <c r="F126">
        <v>21.59873</v>
      </c>
      <c r="G126">
        <v>23.93411</v>
      </c>
    </row>
    <row r="127" spans="1:7">
      <c r="A127">
        <v>1913</v>
      </c>
      <c r="B127">
        <v>21.122039999999998</v>
      </c>
      <c r="C127" t="e">
        <f>NA()</f>
        <v>#N/A</v>
      </c>
      <c r="D127" t="e">
        <f>NA()</f>
        <v>#N/A</v>
      </c>
      <c r="E127" t="e">
        <f>NA()</f>
        <v>#N/A</v>
      </c>
      <c r="F127">
        <v>21.639559999999999</v>
      </c>
      <c r="G127" t="e">
        <f>NA()</f>
        <v>#N/A</v>
      </c>
    </row>
    <row r="128" spans="1:7">
      <c r="A128">
        <v>1914</v>
      </c>
      <c r="B128">
        <v>21.305479999999999</v>
      </c>
      <c r="C128" t="e">
        <f>NA()</f>
        <v>#N/A</v>
      </c>
      <c r="D128" t="e">
        <f>NA()</f>
        <v>#N/A</v>
      </c>
      <c r="E128" t="e">
        <f>NA()</f>
        <v>#N/A</v>
      </c>
      <c r="F128">
        <v>21.82188</v>
      </c>
      <c r="G128" t="e">
        <f>NA()</f>
        <v>#N/A</v>
      </c>
    </row>
    <row r="129" spans="1:7">
      <c r="A129">
        <v>1915</v>
      </c>
      <c r="B129">
        <v>21.520769999999999</v>
      </c>
      <c r="C129" t="e">
        <f>NA()</f>
        <v>#N/A</v>
      </c>
      <c r="D129" t="e">
        <f>NA()</f>
        <v>#N/A</v>
      </c>
      <c r="E129" t="e">
        <f>NA()</f>
        <v>#N/A</v>
      </c>
      <c r="F129">
        <v>21.976030000000002</v>
      </c>
      <c r="G129" t="e">
        <f>NA()</f>
        <v>#N/A</v>
      </c>
    </row>
    <row r="130" spans="1:7">
      <c r="A130">
        <v>1916</v>
      </c>
      <c r="B130">
        <v>21.671050000000001</v>
      </c>
      <c r="C130" t="e">
        <f>NA()</f>
        <v>#N/A</v>
      </c>
      <c r="D130" t="e">
        <f>NA()</f>
        <v>#N/A</v>
      </c>
      <c r="E130" t="e">
        <f>NA()</f>
        <v>#N/A</v>
      </c>
      <c r="F130">
        <v>22.134250000000002</v>
      </c>
      <c r="G130" t="e">
        <f>NA()</f>
        <v>#N/A</v>
      </c>
    </row>
    <row r="131" spans="1:7">
      <c r="A131">
        <v>1917</v>
      </c>
      <c r="B131">
        <v>21.848199999999999</v>
      </c>
      <c r="C131" t="e">
        <f>NA()</f>
        <v>#N/A</v>
      </c>
      <c r="D131" t="e">
        <f>NA()</f>
        <v>#N/A</v>
      </c>
      <c r="E131" t="e">
        <f>NA()</f>
        <v>#N/A</v>
      </c>
      <c r="F131">
        <v>22.27083</v>
      </c>
      <c r="G131">
        <v>24.49372</v>
      </c>
    </row>
    <row r="132" spans="1:7">
      <c r="A132">
        <v>1918</v>
      </c>
      <c r="B132">
        <v>22.017990000000001</v>
      </c>
      <c r="C132" t="e">
        <f>NA()</f>
        <v>#N/A</v>
      </c>
      <c r="D132" t="e">
        <f>NA()</f>
        <v>#N/A</v>
      </c>
      <c r="E132" t="e">
        <f>NA()</f>
        <v>#N/A</v>
      </c>
      <c r="F132">
        <v>22.3125</v>
      </c>
      <c r="G132" t="e">
        <f>NA()</f>
        <v>#N/A</v>
      </c>
    </row>
    <row r="133" spans="1:7">
      <c r="A133">
        <v>1919</v>
      </c>
      <c r="B133">
        <v>22.15597</v>
      </c>
      <c r="C133" t="e">
        <f>NA()</f>
        <v>#N/A</v>
      </c>
      <c r="D133" t="e">
        <f>NA()</f>
        <v>#N/A</v>
      </c>
      <c r="E133" t="e">
        <f>NA()</f>
        <v>#N/A</v>
      </c>
      <c r="F133">
        <v>22.3125</v>
      </c>
      <c r="G133" t="e">
        <f>NA()</f>
        <v>#N/A</v>
      </c>
    </row>
    <row r="134" spans="1:7">
      <c r="A134">
        <v>1920</v>
      </c>
      <c r="B134">
        <v>22.264430000000001</v>
      </c>
      <c r="C134" t="e">
        <f>NA()</f>
        <v>#N/A</v>
      </c>
      <c r="D134">
        <v>20.380780000000001</v>
      </c>
      <c r="E134" t="e">
        <f>NA()</f>
        <v>#N/A</v>
      </c>
      <c r="F134">
        <v>22.409659999999999</v>
      </c>
      <c r="G134">
        <v>24.75928</v>
      </c>
    </row>
    <row r="135" spans="1:7">
      <c r="A135">
        <v>1921</v>
      </c>
      <c r="B135">
        <v>22.354469999999999</v>
      </c>
      <c r="C135" t="e">
        <f>NA()</f>
        <v>#N/A</v>
      </c>
      <c r="D135">
        <v>20.4619</v>
      </c>
      <c r="E135" t="e">
        <f>NA()</f>
        <v>#N/A</v>
      </c>
      <c r="F135">
        <v>22.868030000000001</v>
      </c>
      <c r="G135">
        <v>24.695440000000001</v>
      </c>
    </row>
    <row r="136" spans="1:7">
      <c r="A136">
        <v>1922</v>
      </c>
      <c r="B136">
        <v>22.444240000000001</v>
      </c>
      <c r="C136" t="e">
        <f>NA()</f>
        <v>#N/A</v>
      </c>
      <c r="D136">
        <v>20.628959999999999</v>
      </c>
      <c r="E136" t="e">
        <f>NA()</f>
        <v>#N/A</v>
      </c>
      <c r="F136">
        <v>22.852689999999999</v>
      </c>
      <c r="G136">
        <v>24.837409999999998</v>
      </c>
    </row>
    <row r="137" spans="1:7">
      <c r="A137">
        <v>1923</v>
      </c>
      <c r="B137">
        <v>22.531559999999999</v>
      </c>
      <c r="C137" t="e">
        <f>NA()</f>
        <v>#N/A</v>
      </c>
      <c r="D137">
        <v>20.77206</v>
      </c>
      <c r="E137" t="e">
        <f>NA()</f>
        <v>#N/A</v>
      </c>
      <c r="F137">
        <v>22.950050000000001</v>
      </c>
      <c r="G137">
        <v>24.99156</v>
      </c>
    </row>
    <row r="138" spans="1:7">
      <c r="A138">
        <v>1924</v>
      </c>
      <c r="B138">
        <v>22.781230000000001</v>
      </c>
      <c r="C138" t="e">
        <f>NA()</f>
        <v>#N/A</v>
      </c>
      <c r="D138">
        <v>20.897220000000001</v>
      </c>
      <c r="E138">
        <v>21.087910000000001</v>
      </c>
      <c r="F138">
        <v>23.055409999999998</v>
      </c>
      <c r="G138">
        <v>25.052679999999999</v>
      </c>
    </row>
    <row r="139" spans="1:7">
      <c r="A139">
        <v>1925</v>
      </c>
      <c r="B139">
        <v>22.930440000000001</v>
      </c>
      <c r="C139" t="e">
        <f>NA()</f>
        <v>#N/A</v>
      </c>
      <c r="D139">
        <v>21.00844</v>
      </c>
      <c r="E139">
        <v>21.180689999999998</v>
      </c>
      <c r="F139">
        <v>23.148070000000001</v>
      </c>
      <c r="G139">
        <v>25.162379999999999</v>
      </c>
    </row>
    <row r="140" spans="1:7">
      <c r="A140">
        <v>1926</v>
      </c>
      <c r="B140">
        <v>23.084119999999999</v>
      </c>
      <c r="C140" t="e">
        <f>NA()</f>
        <v>#N/A</v>
      </c>
      <c r="D140">
        <v>21.122039999999998</v>
      </c>
      <c r="E140">
        <v>21.28858</v>
      </c>
      <c r="F140">
        <v>23.216470000000001</v>
      </c>
      <c r="G140">
        <v>25.269749999999998</v>
      </c>
    </row>
    <row r="141" spans="1:7">
      <c r="A141">
        <v>1927</v>
      </c>
      <c r="B141">
        <v>23.216470000000001</v>
      </c>
      <c r="C141" t="e">
        <f>NA()</f>
        <v>#N/A</v>
      </c>
      <c r="D141">
        <v>21.26559</v>
      </c>
      <c r="E141">
        <v>21.359839999999998</v>
      </c>
      <c r="F141">
        <v>23.264869999999998</v>
      </c>
      <c r="G141">
        <v>25.33839</v>
      </c>
    </row>
    <row r="142" spans="1:7">
      <c r="A142">
        <v>1928</v>
      </c>
      <c r="B142">
        <v>23.34066</v>
      </c>
      <c r="C142" t="e">
        <f>NA()</f>
        <v>#N/A</v>
      </c>
      <c r="D142">
        <v>21.39621</v>
      </c>
      <c r="E142">
        <v>21.469950000000001</v>
      </c>
      <c r="F142">
        <v>23.39742</v>
      </c>
      <c r="G142">
        <v>25.4054</v>
      </c>
    </row>
    <row r="143" spans="1:7">
      <c r="A143">
        <v>1929</v>
      </c>
      <c r="B143">
        <v>23.43796</v>
      </c>
      <c r="C143" t="e">
        <f>NA()</f>
        <v>#N/A</v>
      </c>
      <c r="D143">
        <v>21.538630000000001</v>
      </c>
      <c r="E143">
        <v>21.556180000000001</v>
      </c>
      <c r="F143">
        <v>23.47054</v>
      </c>
      <c r="G143">
        <v>25.485440000000001</v>
      </c>
    </row>
    <row r="144" spans="1:7">
      <c r="A144">
        <v>1930</v>
      </c>
      <c r="B144">
        <v>23.483280000000001</v>
      </c>
      <c r="C144" t="e">
        <f>NA()</f>
        <v>#N/A</v>
      </c>
      <c r="D144">
        <v>21.627479999999998</v>
      </c>
      <c r="E144">
        <v>21.619350000000001</v>
      </c>
      <c r="F144">
        <v>23.556480000000001</v>
      </c>
      <c r="G144">
        <v>25.4682</v>
      </c>
    </row>
    <row r="145" spans="1:7">
      <c r="A145">
        <v>1931</v>
      </c>
      <c r="B145">
        <v>23.49586</v>
      </c>
      <c r="C145" t="e">
        <f>NA()</f>
        <v>#N/A</v>
      </c>
      <c r="D145">
        <v>21.671050000000001</v>
      </c>
      <c r="E145">
        <v>21.655429999999999</v>
      </c>
      <c r="F145">
        <v>23.596830000000001</v>
      </c>
      <c r="G145">
        <v>25.41461</v>
      </c>
    </row>
    <row r="146" spans="1:7">
      <c r="A146">
        <v>1932</v>
      </c>
      <c r="B146">
        <v>23.579740000000001</v>
      </c>
      <c r="C146" t="e">
        <f>NA()</f>
        <v>#N/A</v>
      </c>
      <c r="D146">
        <v>21.67492</v>
      </c>
      <c r="E146">
        <v>21.701589999999999</v>
      </c>
      <c r="F146">
        <v>23.624690000000001</v>
      </c>
      <c r="G146">
        <v>25.323419999999999</v>
      </c>
    </row>
    <row r="147" spans="1:7">
      <c r="A147">
        <v>1933</v>
      </c>
      <c r="B147">
        <v>23.693680000000001</v>
      </c>
      <c r="C147" t="e">
        <f>NA()</f>
        <v>#N/A</v>
      </c>
      <c r="D147">
        <v>21.701589999999999</v>
      </c>
      <c r="E147">
        <v>21.805070000000001</v>
      </c>
      <c r="F147">
        <v>23.693680000000001</v>
      </c>
      <c r="G147">
        <v>25.357990000000001</v>
      </c>
    </row>
    <row r="148" spans="1:7">
      <c r="A148">
        <v>1934</v>
      </c>
      <c r="B148">
        <v>23.80518</v>
      </c>
      <c r="C148" t="e">
        <f>NA()</f>
        <v>#N/A</v>
      </c>
      <c r="D148">
        <v>21.752890000000001</v>
      </c>
      <c r="E148">
        <v>21.920210000000001</v>
      </c>
      <c r="F148">
        <v>23.777270000000001</v>
      </c>
      <c r="G148">
        <v>25.4328</v>
      </c>
    </row>
    <row r="149" spans="1:7">
      <c r="A149">
        <v>1935</v>
      </c>
      <c r="B149">
        <v>23.930070000000001</v>
      </c>
      <c r="C149" t="e">
        <f>NA()</f>
        <v>#N/A</v>
      </c>
      <c r="D149">
        <v>21.76707</v>
      </c>
      <c r="E149">
        <v>22.050339999999998</v>
      </c>
      <c r="F149">
        <v>23.876000000000001</v>
      </c>
      <c r="G149">
        <v>25.502389999999998</v>
      </c>
    </row>
    <row r="150" spans="1:7">
      <c r="A150">
        <v>1936</v>
      </c>
      <c r="B150">
        <v>24.0228</v>
      </c>
      <c r="C150" t="e">
        <f>NA()</f>
        <v>#N/A</v>
      </c>
      <c r="D150">
        <v>21.8611</v>
      </c>
      <c r="E150">
        <v>22.249320000000001</v>
      </c>
      <c r="F150">
        <v>23.977509999999999</v>
      </c>
      <c r="G150">
        <v>25.635919999999999</v>
      </c>
    </row>
    <row r="151" spans="1:7">
      <c r="A151">
        <v>1937</v>
      </c>
      <c r="B151">
        <v>24.13111</v>
      </c>
      <c r="C151" t="e">
        <f>NA()</f>
        <v>#N/A</v>
      </c>
      <c r="D151">
        <v>21.97317</v>
      </c>
      <c r="E151">
        <v>22.398489999999999</v>
      </c>
      <c r="F151">
        <v>24.087109999999999</v>
      </c>
      <c r="G151">
        <v>25.713699999999999</v>
      </c>
    </row>
    <row r="152" spans="1:7">
      <c r="A152">
        <v>1938</v>
      </c>
      <c r="B152">
        <v>24.201419999999999</v>
      </c>
      <c r="C152">
        <v>16.648720000000001</v>
      </c>
      <c r="D152">
        <v>22.028890000000001</v>
      </c>
      <c r="E152">
        <v>22.50329</v>
      </c>
      <c r="F152">
        <v>24.185870000000001</v>
      </c>
      <c r="G152">
        <v>25.679089999999999</v>
      </c>
    </row>
    <row r="153" spans="1:7">
      <c r="A153">
        <v>1939</v>
      </c>
      <c r="B153">
        <v>24.252559999999999</v>
      </c>
      <c r="C153">
        <v>16.75995</v>
      </c>
      <c r="D153">
        <v>22.12445</v>
      </c>
      <c r="E153">
        <v>22.605779999999999</v>
      </c>
      <c r="F153">
        <v>24.243729999999999</v>
      </c>
      <c r="G153">
        <v>25.804670000000002</v>
      </c>
    </row>
    <row r="154" spans="1:7">
      <c r="A154">
        <v>1940</v>
      </c>
      <c r="B154">
        <v>24.267119999999998</v>
      </c>
      <c r="C154">
        <v>16.906549999999999</v>
      </c>
      <c r="D154">
        <v>22.052990000000001</v>
      </c>
      <c r="E154">
        <v>22.693169999999999</v>
      </c>
      <c r="F154">
        <v>24.301210000000001</v>
      </c>
      <c r="G154">
        <v>25.916219999999999</v>
      </c>
    </row>
    <row r="155" spans="1:7">
      <c r="A155">
        <v>1941</v>
      </c>
      <c r="B155">
        <v>24.352930000000001</v>
      </c>
      <c r="C155">
        <v>17.073609999999999</v>
      </c>
      <c r="D155">
        <v>22.017990000000001</v>
      </c>
      <c r="E155">
        <v>22.7501</v>
      </c>
      <c r="F155">
        <v>24.38683</v>
      </c>
      <c r="G155">
        <v>26.0656</v>
      </c>
    </row>
    <row r="156" spans="1:7">
      <c r="A156">
        <v>1942</v>
      </c>
      <c r="B156">
        <v>24.309560000000001</v>
      </c>
      <c r="C156">
        <v>17.249500000000001</v>
      </c>
      <c r="D156">
        <v>22.006969999999999</v>
      </c>
      <c r="E156">
        <v>22.77739</v>
      </c>
      <c r="F156">
        <v>24.479800000000001</v>
      </c>
      <c r="G156">
        <v>26.174299999999999</v>
      </c>
    </row>
    <row r="157" spans="1:7">
      <c r="A157">
        <v>1943</v>
      </c>
      <c r="B157">
        <v>24.352930000000001</v>
      </c>
      <c r="C157">
        <v>17.34187</v>
      </c>
      <c r="D157">
        <v>21.995830000000002</v>
      </c>
      <c r="E157">
        <v>22.764489999999999</v>
      </c>
      <c r="F157">
        <v>24.514250000000001</v>
      </c>
      <c r="G157">
        <v>26.314250000000001</v>
      </c>
    </row>
    <row r="158" spans="1:7">
      <c r="A158">
        <v>1944</v>
      </c>
      <c r="B158">
        <v>24.309560000000001</v>
      </c>
      <c r="C158">
        <v>17.42643</v>
      </c>
      <c r="D158">
        <v>21.81183</v>
      </c>
      <c r="E158">
        <v>22.807700000000001</v>
      </c>
      <c r="F158">
        <v>24.54973</v>
      </c>
      <c r="G158">
        <v>26.358059999999998</v>
      </c>
    </row>
    <row r="159" spans="1:7">
      <c r="A159">
        <v>1945</v>
      </c>
      <c r="B159">
        <v>23.809750000000001</v>
      </c>
      <c r="C159">
        <v>17.52908</v>
      </c>
      <c r="D159">
        <v>21.327580000000001</v>
      </c>
      <c r="E159">
        <v>22.843129999999999</v>
      </c>
      <c r="F159">
        <v>24.523240000000001</v>
      </c>
      <c r="G159">
        <v>26.329070000000002</v>
      </c>
    </row>
    <row r="160" spans="1:7">
      <c r="A160">
        <v>1946</v>
      </c>
      <c r="B160">
        <v>24.134409999999999</v>
      </c>
      <c r="C160">
        <v>17.52908</v>
      </c>
      <c r="D160">
        <v>22.031600000000001</v>
      </c>
      <c r="E160">
        <v>22.870370000000001</v>
      </c>
      <c r="F160">
        <v>24.625240000000002</v>
      </c>
      <c r="G160">
        <v>26.32169</v>
      </c>
    </row>
    <row r="161" spans="1:7">
      <c r="A161">
        <v>1947</v>
      </c>
      <c r="B161">
        <v>24.21369</v>
      </c>
      <c r="C161">
        <v>17.599699999999999</v>
      </c>
      <c r="D161">
        <v>22.25798</v>
      </c>
      <c r="E161">
        <v>22.896879999999999</v>
      </c>
      <c r="F161">
        <v>24.651160000000001</v>
      </c>
      <c r="G161">
        <v>26.45337</v>
      </c>
    </row>
    <row r="162" spans="1:7">
      <c r="A162">
        <v>1948</v>
      </c>
      <c r="B162">
        <v>24.35558</v>
      </c>
      <c r="C162">
        <v>17.87595</v>
      </c>
      <c r="D162">
        <v>22.442460000000001</v>
      </c>
      <c r="E162">
        <v>22.948969999999999</v>
      </c>
      <c r="F162">
        <v>24.726959999999998</v>
      </c>
      <c r="G162">
        <v>26.54335</v>
      </c>
    </row>
    <row r="163" spans="1:7">
      <c r="A163">
        <v>1949</v>
      </c>
      <c r="B163">
        <v>24.44896</v>
      </c>
      <c r="C163">
        <v>18.064</v>
      </c>
      <c r="D163">
        <v>22.570139999999999</v>
      </c>
      <c r="E163">
        <v>23.01782</v>
      </c>
      <c r="F163">
        <v>24.773309999999999</v>
      </c>
      <c r="G163">
        <v>26.569700000000001</v>
      </c>
    </row>
    <row r="164" spans="1:7">
      <c r="A164">
        <v>1950</v>
      </c>
      <c r="B164">
        <v>24.558409999999999</v>
      </c>
      <c r="C164">
        <v>18.488340000000001</v>
      </c>
      <c r="D164">
        <v>22.727450000000001</v>
      </c>
      <c r="E164">
        <v>23.112030000000001</v>
      </c>
      <c r="F164">
        <v>24.87115</v>
      </c>
      <c r="G164">
        <v>26.68685</v>
      </c>
    </row>
    <row r="165" spans="1:7">
      <c r="A165">
        <v>1951</v>
      </c>
      <c r="B165">
        <v>24.592379999999999</v>
      </c>
      <c r="C165">
        <v>18.643820000000002</v>
      </c>
      <c r="D165">
        <v>22.79139</v>
      </c>
      <c r="E165">
        <v>23.182860000000002</v>
      </c>
      <c r="F165">
        <v>24.963149999999999</v>
      </c>
      <c r="G165">
        <v>26.796309999999998</v>
      </c>
    </row>
    <row r="166" spans="1:7">
      <c r="A166">
        <v>1952</v>
      </c>
      <c r="B166">
        <v>24.674510000000001</v>
      </c>
      <c r="C166">
        <v>18.845949999999998</v>
      </c>
      <c r="D166">
        <v>22.875029999999999</v>
      </c>
      <c r="E166">
        <v>23.248989999999999</v>
      </c>
      <c r="F166">
        <v>24.99296</v>
      </c>
      <c r="G166">
        <v>26.863150000000001</v>
      </c>
    </row>
    <row r="167" spans="1:7">
      <c r="A167">
        <v>1953</v>
      </c>
      <c r="B167">
        <v>24.77505</v>
      </c>
      <c r="C167">
        <v>19.008469999999999</v>
      </c>
      <c r="D167">
        <v>22.985029999999998</v>
      </c>
      <c r="E167">
        <v>23.311029999999999</v>
      </c>
      <c r="F167">
        <v>25.042090000000002</v>
      </c>
      <c r="G167">
        <v>26.96743</v>
      </c>
    </row>
    <row r="168" spans="1:7">
      <c r="A168">
        <v>1954</v>
      </c>
      <c r="B168">
        <v>24.817609999999998</v>
      </c>
      <c r="C168">
        <v>19.186150000000001</v>
      </c>
      <c r="D168">
        <v>23.084119999999999</v>
      </c>
      <c r="E168">
        <v>23.40429</v>
      </c>
      <c r="F168">
        <v>25.128769999999999</v>
      </c>
      <c r="G168">
        <v>27.024049999999999</v>
      </c>
    </row>
    <row r="169" spans="1:7">
      <c r="A169">
        <v>1955</v>
      </c>
      <c r="B169">
        <v>24.90072</v>
      </c>
      <c r="C169">
        <v>19.340959999999999</v>
      </c>
      <c r="D169">
        <v>23.13918</v>
      </c>
      <c r="E169">
        <v>23.526630000000001</v>
      </c>
      <c r="F169">
        <v>25.21303</v>
      </c>
      <c r="G169">
        <v>27.168990000000001</v>
      </c>
    </row>
    <row r="170" spans="1:7">
      <c r="A170">
        <v>1956</v>
      </c>
      <c r="B170">
        <v>25.021909999999998</v>
      </c>
      <c r="C170">
        <v>19.505870000000002</v>
      </c>
      <c r="D170">
        <v>23.248989999999999</v>
      </c>
      <c r="E170">
        <v>23.602460000000001</v>
      </c>
      <c r="F170">
        <v>25.285530000000001</v>
      </c>
      <c r="G170">
        <v>27.25414</v>
      </c>
    </row>
    <row r="171" spans="1:7">
      <c r="A171">
        <v>1957</v>
      </c>
      <c r="B171">
        <v>25.121410000000001</v>
      </c>
      <c r="C171">
        <v>19.590060000000001</v>
      </c>
      <c r="D171">
        <v>23.318519999999999</v>
      </c>
      <c r="E171">
        <v>23.719000000000001</v>
      </c>
      <c r="F171">
        <v>25.328440000000001</v>
      </c>
      <c r="G171">
        <v>27.29834</v>
      </c>
    </row>
    <row r="172" spans="1:7">
      <c r="A172">
        <v>1958</v>
      </c>
      <c r="B172">
        <v>25.17061</v>
      </c>
      <c r="C172">
        <v>19.36459</v>
      </c>
      <c r="D172">
        <v>23.355149999999998</v>
      </c>
      <c r="E172">
        <v>23.723990000000001</v>
      </c>
      <c r="F172">
        <v>25.396100000000001</v>
      </c>
      <c r="G172">
        <v>27.31082</v>
      </c>
    </row>
    <row r="173" spans="1:7">
      <c r="A173">
        <v>1959</v>
      </c>
      <c r="B173">
        <v>25.319400000000002</v>
      </c>
      <c r="C173">
        <v>19.356770000000001</v>
      </c>
      <c r="D173">
        <v>23.431319999999999</v>
      </c>
      <c r="E173">
        <v>23.777270000000001</v>
      </c>
      <c r="F173">
        <v>25.4682</v>
      </c>
      <c r="G173">
        <v>27.40663</v>
      </c>
    </row>
    <row r="174" spans="1:7">
      <c r="A174">
        <v>1960</v>
      </c>
      <c r="B174">
        <v>25.4682</v>
      </c>
      <c r="C174">
        <v>19.402760000000001</v>
      </c>
      <c r="D174">
        <v>23.526630000000001</v>
      </c>
      <c r="E174">
        <v>23.84122</v>
      </c>
      <c r="F174">
        <v>25.583079999999999</v>
      </c>
      <c r="G174">
        <v>27.462599999999998</v>
      </c>
    </row>
    <row r="175" spans="1:7">
      <c r="A175">
        <v>1961</v>
      </c>
      <c r="B175">
        <v>25.606069999999999</v>
      </c>
      <c r="C175">
        <v>19.368469999999999</v>
      </c>
      <c r="D175">
        <v>23.591170000000002</v>
      </c>
      <c r="E175">
        <v>23.917850000000001</v>
      </c>
      <c r="F175">
        <v>25.65052</v>
      </c>
      <c r="G175">
        <v>27.50432</v>
      </c>
    </row>
    <row r="176" spans="1:7">
      <c r="A176">
        <v>1962</v>
      </c>
      <c r="B176">
        <v>25.664909999999999</v>
      </c>
      <c r="C176">
        <v>19.474989999999998</v>
      </c>
      <c r="D176">
        <v>23.68337</v>
      </c>
      <c r="E176">
        <v>23.969760000000001</v>
      </c>
      <c r="F176">
        <v>25.740549999999999</v>
      </c>
      <c r="G176">
        <v>27.576560000000001</v>
      </c>
    </row>
    <row r="177" spans="1:7">
      <c r="A177">
        <v>1963</v>
      </c>
      <c r="B177">
        <v>25.798439999999999</v>
      </c>
      <c r="C177">
        <v>19.571249999999999</v>
      </c>
      <c r="D177">
        <v>23.767790000000002</v>
      </c>
      <c r="E177">
        <v>24.019100000000002</v>
      </c>
      <c r="F177">
        <v>25.817019999999999</v>
      </c>
      <c r="G177">
        <v>27.640969999999999</v>
      </c>
    </row>
    <row r="178" spans="1:7">
      <c r="A178">
        <v>1964</v>
      </c>
      <c r="B178">
        <v>25.916219999999999</v>
      </c>
      <c r="C178">
        <v>19.776520000000001</v>
      </c>
      <c r="D178">
        <v>23.85876</v>
      </c>
      <c r="E178">
        <v>24.189</v>
      </c>
      <c r="F178">
        <v>25.864930000000001</v>
      </c>
      <c r="G178">
        <v>27.707979999999999</v>
      </c>
    </row>
    <row r="179" spans="1:7">
      <c r="A179">
        <v>1965</v>
      </c>
      <c r="B179">
        <v>25.98076</v>
      </c>
      <c r="C179">
        <v>19.79186</v>
      </c>
      <c r="D179">
        <v>23.942139999999998</v>
      </c>
      <c r="E179">
        <v>24.32058</v>
      </c>
      <c r="F179">
        <v>25.932749999999999</v>
      </c>
      <c r="G179">
        <v>27.779440000000001</v>
      </c>
    </row>
    <row r="180" spans="1:7">
      <c r="A180">
        <v>1966</v>
      </c>
      <c r="B180">
        <v>26.093900000000001</v>
      </c>
      <c r="C180">
        <v>19.8462</v>
      </c>
      <c r="D180">
        <v>24.05189</v>
      </c>
      <c r="E180">
        <v>24.32058</v>
      </c>
      <c r="F180">
        <v>25.959710000000001</v>
      </c>
      <c r="G180">
        <v>27.85416</v>
      </c>
    </row>
    <row r="181" spans="1:7">
      <c r="A181">
        <v>1967</v>
      </c>
      <c r="B181">
        <v>26.224519999999998</v>
      </c>
      <c r="C181">
        <v>19.829229999999999</v>
      </c>
      <c r="D181">
        <v>24.127790000000001</v>
      </c>
      <c r="E181">
        <v>24.402100000000001</v>
      </c>
      <c r="F181">
        <v>25.991119999999999</v>
      </c>
      <c r="G181">
        <v>27.908650000000002</v>
      </c>
    </row>
    <row r="182" spans="1:7">
      <c r="A182">
        <v>1968</v>
      </c>
      <c r="B182">
        <v>26.332740000000001</v>
      </c>
      <c r="C182">
        <v>19.970369999999999</v>
      </c>
      <c r="D182">
        <v>24.23779</v>
      </c>
      <c r="E182">
        <v>24.484470000000002</v>
      </c>
      <c r="F182">
        <v>26.055980000000002</v>
      </c>
      <c r="G182">
        <v>27.995660000000001</v>
      </c>
    </row>
    <row r="183" spans="1:7">
      <c r="A183">
        <v>1969</v>
      </c>
      <c r="B183">
        <v>26.479009999999999</v>
      </c>
      <c r="C183">
        <v>20.086500000000001</v>
      </c>
      <c r="D183">
        <v>24.336880000000001</v>
      </c>
      <c r="E183">
        <v>24.551909999999999</v>
      </c>
      <c r="F183">
        <v>26.12143</v>
      </c>
      <c r="G183">
        <v>28.069279999999999</v>
      </c>
    </row>
    <row r="184" spans="1:7">
      <c r="A184">
        <v>1970</v>
      </c>
      <c r="B184">
        <v>26.609369999999998</v>
      </c>
      <c r="C184">
        <v>20.183700000000002</v>
      </c>
      <c r="D184">
        <v>24.4344</v>
      </c>
      <c r="E184">
        <v>24.655090000000001</v>
      </c>
      <c r="F184">
        <v>26.161339999999999</v>
      </c>
      <c r="G184">
        <v>28.125720000000001</v>
      </c>
    </row>
    <row r="185" spans="1:7">
      <c r="A185">
        <v>1971</v>
      </c>
      <c r="B185">
        <v>26.679099999999998</v>
      </c>
      <c r="C185">
        <v>20.253260000000001</v>
      </c>
      <c r="D185">
        <v>24.527699999999999</v>
      </c>
      <c r="E185">
        <v>24.726959999999998</v>
      </c>
      <c r="F185">
        <v>26.191330000000001</v>
      </c>
      <c r="G185">
        <v>28.173349999999999</v>
      </c>
    </row>
    <row r="186" spans="1:7">
      <c r="A186">
        <v>1972</v>
      </c>
      <c r="B186">
        <v>26.777699999999999</v>
      </c>
      <c r="C186">
        <v>20.414020000000001</v>
      </c>
      <c r="D186">
        <v>24.62726</v>
      </c>
      <c r="E186">
        <v>24.807559999999999</v>
      </c>
      <c r="F186">
        <v>26.22043</v>
      </c>
      <c r="G186">
        <v>28.246210000000001</v>
      </c>
    </row>
    <row r="187" spans="1:7">
      <c r="A187">
        <v>1973</v>
      </c>
      <c r="B187">
        <v>26.876000000000001</v>
      </c>
      <c r="C187">
        <v>20.491330000000001</v>
      </c>
      <c r="D187">
        <v>24.685980000000001</v>
      </c>
      <c r="E187">
        <v>24.891480000000001</v>
      </c>
      <c r="F187">
        <v>26.291609999999999</v>
      </c>
      <c r="G187">
        <v>28.30397</v>
      </c>
    </row>
    <row r="188" spans="1:7">
      <c r="A188">
        <v>1974</v>
      </c>
      <c r="B188">
        <v>26.852319999999999</v>
      </c>
      <c r="C188">
        <v>20.584</v>
      </c>
      <c r="D188">
        <v>24.737850000000002</v>
      </c>
      <c r="E188">
        <v>24.9803</v>
      </c>
      <c r="F188">
        <v>26.25665</v>
      </c>
      <c r="G188">
        <v>28.309059999999999</v>
      </c>
    </row>
    <row r="189" spans="1:7">
      <c r="A189">
        <v>1975</v>
      </c>
      <c r="B189">
        <v>26.888680000000001</v>
      </c>
      <c r="C189">
        <v>20.693840000000002</v>
      </c>
      <c r="D189">
        <v>24.717790000000001</v>
      </c>
      <c r="E189">
        <v>25.03942</v>
      </c>
      <c r="F189">
        <v>26.252700000000001</v>
      </c>
      <c r="G189">
        <v>28.324169999999999</v>
      </c>
    </row>
    <row r="190" spans="1:7">
      <c r="A190">
        <v>1976</v>
      </c>
      <c r="B190">
        <v>26.961590000000001</v>
      </c>
      <c r="C190">
        <v>20.871690000000001</v>
      </c>
      <c r="D190">
        <v>24.785430000000002</v>
      </c>
      <c r="E190">
        <v>25.097760000000001</v>
      </c>
      <c r="F190">
        <v>26.268439999999998</v>
      </c>
      <c r="G190">
        <v>28.382439999999999</v>
      </c>
    </row>
    <row r="191" spans="1:7">
      <c r="A191">
        <v>1977</v>
      </c>
      <c r="B191">
        <v>27.00179</v>
      </c>
      <c r="C191">
        <v>20.827629999999999</v>
      </c>
      <c r="D191">
        <v>24.788869999999999</v>
      </c>
      <c r="E191">
        <v>25.036750000000001</v>
      </c>
      <c r="F191">
        <v>26.291609999999999</v>
      </c>
      <c r="G191">
        <v>28.424009999999999</v>
      </c>
    </row>
    <row r="192" spans="1:7">
      <c r="A192">
        <v>1978</v>
      </c>
      <c r="B192">
        <v>27.058319999999998</v>
      </c>
      <c r="C192">
        <v>21.045349999999999</v>
      </c>
      <c r="D192">
        <v>24.84393</v>
      </c>
      <c r="E192">
        <v>25.070959999999999</v>
      </c>
      <c r="F192">
        <v>26.310510000000001</v>
      </c>
      <c r="G192">
        <v>28.459569999999999</v>
      </c>
    </row>
    <row r="193" spans="1:7">
      <c r="A193">
        <v>1979</v>
      </c>
      <c r="B193">
        <v>27.103390000000001</v>
      </c>
      <c r="C193">
        <v>21.174340000000001</v>
      </c>
      <c r="D193">
        <v>24.88993</v>
      </c>
      <c r="E193">
        <v>25.12387</v>
      </c>
      <c r="F193">
        <v>26.354479999999999</v>
      </c>
      <c r="G193">
        <v>28.47259</v>
      </c>
    </row>
    <row r="194" spans="1:7">
      <c r="A194">
        <v>1980</v>
      </c>
      <c r="B194">
        <v>27.082840000000001</v>
      </c>
      <c r="C194">
        <v>21.122039999999998</v>
      </c>
      <c r="D194">
        <v>24.894570000000002</v>
      </c>
      <c r="E194">
        <v>25.218620000000001</v>
      </c>
      <c r="F194">
        <v>26.303000000000001</v>
      </c>
      <c r="G194">
        <v>28.485440000000001</v>
      </c>
    </row>
    <row r="195" spans="1:7">
      <c r="A195">
        <v>1981</v>
      </c>
      <c r="B195">
        <v>27.091449999999998</v>
      </c>
      <c r="C195">
        <v>21.282879999999999</v>
      </c>
      <c r="D195">
        <v>24.883710000000001</v>
      </c>
      <c r="E195">
        <v>25.367660000000001</v>
      </c>
      <c r="F195">
        <v>26.280090000000001</v>
      </c>
      <c r="G195">
        <v>28.48968</v>
      </c>
    </row>
    <row r="196" spans="1:7">
      <c r="A196">
        <v>1982</v>
      </c>
      <c r="B196">
        <v>27.08802</v>
      </c>
      <c r="C196">
        <v>21.365120000000001</v>
      </c>
      <c r="D196">
        <v>24.822600000000001</v>
      </c>
      <c r="E196">
        <v>25.4054</v>
      </c>
      <c r="F196">
        <v>26.2606</v>
      </c>
      <c r="G196">
        <v>28.463930000000001</v>
      </c>
    </row>
    <row r="197" spans="1:7">
      <c r="A197">
        <v>1983</v>
      </c>
      <c r="B197">
        <v>27.149750000000001</v>
      </c>
      <c r="C197">
        <v>21.525269999999999</v>
      </c>
      <c r="D197">
        <v>24.810919999999999</v>
      </c>
      <c r="E197">
        <v>25.535450000000001</v>
      </c>
      <c r="F197">
        <v>26.27234</v>
      </c>
      <c r="G197">
        <v>28.49391</v>
      </c>
    </row>
    <row r="198" spans="1:7">
      <c r="A198">
        <v>1984</v>
      </c>
      <c r="B198">
        <v>27.198699999999999</v>
      </c>
      <c r="C198">
        <v>21.534199999999998</v>
      </c>
      <c r="D198">
        <v>24.863219999999998</v>
      </c>
      <c r="E198">
        <v>25.527290000000001</v>
      </c>
      <c r="F198">
        <v>26.291609999999999</v>
      </c>
      <c r="G198">
        <v>28.539280000000002</v>
      </c>
    </row>
    <row r="199" spans="1:7">
      <c r="A199">
        <v>1985</v>
      </c>
      <c r="B199">
        <v>27.233519999999999</v>
      </c>
      <c r="C199">
        <v>21.635549999999999</v>
      </c>
      <c r="D199">
        <v>24.864809999999999</v>
      </c>
      <c r="E199">
        <v>25.527290000000001</v>
      </c>
      <c r="F199">
        <v>26.336390000000002</v>
      </c>
      <c r="G199">
        <v>28.574929999999998</v>
      </c>
    </row>
    <row r="200" spans="1:7">
      <c r="A200">
        <v>1986</v>
      </c>
      <c r="B200">
        <v>27.239460000000001</v>
      </c>
      <c r="C200">
        <v>21.651489999999999</v>
      </c>
      <c r="D200">
        <v>24.93094</v>
      </c>
      <c r="E200">
        <v>25.713699999999999</v>
      </c>
      <c r="F200">
        <v>26.354479999999999</v>
      </c>
      <c r="G200">
        <v>28.58653</v>
      </c>
    </row>
    <row r="201" spans="1:7">
      <c r="A201">
        <v>1987</v>
      </c>
      <c r="B201">
        <v>27.301130000000001</v>
      </c>
      <c r="C201">
        <v>21.690249999999999</v>
      </c>
      <c r="D201">
        <v>24.948640000000001</v>
      </c>
      <c r="E201">
        <v>25.740549999999999</v>
      </c>
      <c r="F201">
        <v>26.358059999999998</v>
      </c>
      <c r="G201">
        <v>28.63165</v>
      </c>
    </row>
    <row r="202" spans="1:7">
      <c r="A202">
        <v>1988</v>
      </c>
      <c r="B202">
        <v>27.348659999999999</v>
      </c>
      <c r="C202">
        <v>21.76707</v>
      </c>
      <c r="D202">
        <v>24.96603</v>
      </c>
      <c r="E202">
        <v>25.779509999999998</v>
      </c>
      <c r="F202">
        <v>26.306760000000001</v>
      </c>
      <c r="G202">
        <v>28.678339999999999</v>
      </c>
    </row>
    <row r="203" spans="1:7">
      <c r="A203">
        <v>1989</v>
      </c>
      <c r="B203">
        <v>27.40663</v>
      </c>
      <c r="C203">
        <v>21.787980000000001</v>
      </c>
      <c r="D203">
        <v>25.013729999999999</v>
      </c>
      <c r="E203">
        <v>25.823129999999999</v>
      </c>
      <c r="F203">
        <v>26.400020000000001</v>
      </c>
      <c r="G203">
        <v>28.719580000000001</v>
      </c>
    </row>
    <row r="204" spans="1:7">
      <c r="A204">
        <v>1990</v>
      </c>
      <c r="B204">
        <v>27.476700000000001</v>
      </c>
      <c r="C204">
        <v>21.83512</v>
      </c>
      <c r="D204">
        <v>24.998539999999998</v>
      </c>
      <c r="E204">
        <v>25.841259999999998</v>
      </c>
      <c r="F204">
        <v>26.417000000000002</v>
      </c>
      <c r="G204">
        <v>28.67483</v>
      </c>
    </row>
    <row r="205" spans="1:7">
      <c r="A205">
        <v>1991</v>
      </c>
      <c r="B205">
        <v>27.512239999999998</v>
      </c>
      <c r="C205">
        <v>21.89575</v>
      </c>
      <c r="D205">
        <v>25.031379999999999</v>
      </c>
      <c r="E205">
        <v>25.853159999999999</v>
      </c>
      <c r="F205">
        <v>26.43038</v>
      </c>
      <c r="G205">
        <v>28.752700000000001</v>
      </c>
    </row>
    <row r="206" spans="1:7">
      <c r="A206">
        <v>1992</v>
      </c>
      <c r="B206">
        <v>27.512239999999998</v>
      </c>
      <c r="C206">
        <v>21.89265</v>
      </c>
      <c r="D206">
        <v>25.068370000000002</v>
      </c>
      <c r="E206">
        <v>25.835249999999998</v>
      </c>
      <c r="F206">
        <v>26.420359999999999</v>
      </c>
      <c r="G206">
        <v>28.765640000000001</v>
      </c>
    </row>
    <row r="207" spans="1:7">
      <c r="A207">
        <v>1993</v>
      </c>
      <c r="B207">
        <v>27.522320000000001</v>
      </c>
      <c r="C207">
        <v>21.947040000000001</v>
      </c>
      <c r="D207">
        <v>25.06447</v>
      </c>
      <c r="E207">
        <v>25.876560000000001</v>
      </c>
      <c r="F207">
        <v>26.433689999999999</v>
      </c>
      <c r="G207">
        <v>28.794170000000001</v>
      </c>
    </row>
    <row r="208" spans="1:7">
      <c r="A208">
        <v>1994</v>
      </c>
      <c r="B208">
        <v>27.586020000000001</v>
      </c>
      <c r="C208">
        <v>21.987390000000001</v>
      </c>
      <c r="D208">
        <v>25.100280000000001</v>
      </c>
      <c r="E208">
        <v>25.921759999999999</v>
      </c>
      <c r="F208" t="e">
        <f>NA()</f>
        <v>#N/A</v>
      </c>
      <c r="G208" t="e">
        <f>NA()</f>
        <v>#N/A</v>
      </c>
    </row>
    <row r="209" spans="1:7">
      <c r="A209">
        <v>1995</v>
      </c>
      <c r="B209">
        <v>27.611840000000001</v>
      </c>
      <c r="C209">
        <v>22.102029999999999</v>
      </c>
      <c r="D209">
        <v>25.117719999999998</v>
      </c>
      <c r="E209">
        <v>25.954370000000001</v>
      </c>
      <c r="F209" t="e">
        <f>NA()</f>
        <v>#N/A</v>
      </c>
      <c r="G209" t="e">
        <f>NA()</f>
        <v>#N/A</v>
      </c>
    </row>
    <row r="210" spans="1:7">
      <c r="A210">
        <v>1996</v>
      </c>
      <c r="B210">
        <v>27.631019999999999</v>
      </c>
      <c r="C210">
        <v>22.146370000000001</v>
      </c>
      <c r="D210">
        <v>25.167090000000002</v>
      </c>
      <c r="E210">
        <v>26.01153</v>
      </c>
      <c r="F210" t="e">
        <f>NA()</f>
        <v>#N/A</v>
      </c>
      <c r="G210" t="e">
        <f>NA()</f>
        <v>#N/A</v>
      </c>
    </row>
    <row r="211" spans="1:7">
      <c r="A211">
        <v>1997</v>
      </c>
      <c r="B211">
        <v>27.66058</v>
      </c>
      <c r="C211">
        <v>22.198029999999999</v>
      </c>
      <c r="D211">
        <v>25.184570000000001</v>
      </c>
      <c r="E211">
        <v>26.055980000000002</v>
      </c>
      <c r="F211" t="e">
        <f>NA()</f>
        <v>#N/A</v>
      </c>
      <c r="G211" t="e">
        <f>NA()</f>
        <v>#N/A</v>
      </c>
    </row>
    <row r="212" spans="1:7">
      <c r="A212">
        <v>1998</v>
      </c>
      <c r="B212">
        <v>27.67024</v>
      </c>
      <c r="C212">
        <v>22.227340000000002</v>
      </c>
      <c r="D212">
        <v>25.236319999999999</v>
      </c>
      <c r="E212">
        <v>26.036470000000001</v>
      </c>
      <c r="F212" t="e">
        <f>NA()</f>
        <v>#N/A</v>
      </c>
      <c r="G212" t="e">
        <f>NA()</f>
        <v>#N/A</v>
      </c>
    </row>
    <row r="213" spans="1:7">
      <c r="A213">
        <v>1999</v>
      </c>
      <c r="B213">
        <v>27.68929</v>
      </c>
      <c r="C213">
        <v>22.184200000000001</v>
      </c>
      <c r="D213">
        <v>25.188020000000002</v>
      </c>
      <c r="E213">
        <v>26.02158</v>
      </c>
      <c r="F213" t="e">
        <f>NA()</f>
        <v>#N/A</v>
      </c>
      <c r="G213" t="e">
        <f>NA()</f>
        <v>#N/A</v>
      </c>
    </row>
    <row r="214" spans="1:7">
      <c r="A214">
        <v>2000</v>
      </c>
      <c r="B214">
        <v>27.68929</v>
      </c>
      <c r="C214">
        <v>22.0791</v>
      </c>
      <c r="D214">
        <v>25.218620000000001</v>
      </c>
      <c r="E214">
        <v>26.0608</v>
      </c>
      <c r="F214" t="e">
        <f>NA()</f>
        <v>#N/A</v>
      </c>
      <c r="G214" t="e">
        <f>NA()</f>
        <v>#N/A</v>
      </c>
    </row>
    <row r="215" spans="1:7">
      <c r="A215">
        <v>2001</v>
      </c>
      <c r="B215">
        <v>27.66058</v>
      </c>
      <c r="C215">
        <v>22.202590000000001</v>
      </c>
      <c r="D215">
        <v>25.263359999999999</v>
      </c>
      <c r="E215">
        <v>26.07985</v>
      </c>
      <c r="F215" t="e">
        <f>NA()</f>
        <v>#N/A</v>
      </c>
      <c r="G215" t="e">
        <f>NA()</f>
        <v>#N/A</v>
      </c>
    </row>
    <row r="216" spans="1:7">
      <c r="A216">
        <v>2002</v>
      </c>
      <c r="B216" t="e">
        <f>NA()</f>
        <v>#N/A</v>
      </c>
      <c r="C216" t="e">
        <f>NA()</f>
        <v>#N/A</v>
      </c>
      <c r="D216" t="e">
        <f>NA()</f>
        <v>#N/A</v>
      </c>
      <c r="E216" t="e">
        <f>NA()</f>
        <v>#N/A</v>
      </c>
      <c r="F216" t="e">
        <f>NA()</f>
        <v>#N/A</v>
      </c>
      <c r="G216" t="e">
        <f>NA()</f>
        <v>#N/A</v>
      </c>
    </row>
    <row r="217" spans="1:7">
      <c r="A217">
        <v>2003</v>
      </c>
      <c r="B217" t="e">
        <f>NA()</f>
        <v>#N/A</v>
      </c>
      <c r="C217" t="e">
        <f>NA()</f>
        <v>#N/A</v>
      </c>
      <c r="D217" t="e">
        <f>NA()</f>
        <v>#N/A</v>
      </c>
      <c r="E217" t="e">
        <f>NA()</f>
        <v>#N/A</v>
      </c>
      <c r="F217" t="e">
        <f>NA()</f>
        <v>#N/A</v>
      </c>
      <c r="G217" t="e">
        <f>NA()</f>
        <v>#N/A</v>
      </c>
    </row>
    <row r="218" spans="1:7">
      <c r="A218">
        <v>2004</v>
      </c>
      <c r="B218" t="e">
        <f>NA()</f>
        <v>#N/A</v>
      </c>
      <c r="C218" t="e">
        <f>NA()</f>
        <v>#N/A</v>
      </c>
      <c r="D218" t="e">
        <f>NA()</f>
        <v>#N/A</v>
      </c>
      <c r="E218" t="e">
        <f>NA()</f>
        <v>#N/A</v>
      </c>
      <c r="F218" t="e">
        <f>NA()</f>
        <v>#N/A</v>
      </c>
      <c r="G218" t="e">
        <f>NA()</f>
        <v>#N/A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1" enableFormatConditionsCalculation="0">
    <tabColor indexed="8"/>
  </sheetPr>
  <dimension ref="A1:L163"/>
  <sheetViews>
    <sheetView tabSelected="1" workbookViewId="0">
      <selection activeCell="O25" sqref="O25"/>
    </sheetView>
  </sheetViews>
  <sheetFormatPr defaultRowHeight="12.75"/>
  <sheetData>
    <row r="1" spans="1:12">
      <c r="A1" t="s">
        <v>207</v>
      </c>
      <c r="B1" t="s">
        <v>744</v>
      </c>
      <c r="C1" t="s">
        <v>745</v>
      </c>
      <c r="D1" t="s">
        <v>207</v>
      </c>
      <c r="E1" t="s">
        <v>746</v>
      </c>
      <c r="F1" t="s">
        <v>743</v>
      </c>
      <c r="G1" t="s">
        <v>207</v>
      </c>
      <c r="H1" t="s">
        <v>747</v>
      </c>
      <c r="I1" t="s">
        <v>748</v>
      </c>
      <c r="J1" t="s">
        <v>207</v>
      </c>
      <c r="K1" t="s">
        <v>469</v>
      </c>
      <c r="L1" t="s">
        <v>0</v>
      </c>
    </row>
    <row r="2" spans="1:12">
      <c r="A2">
        <v>1830</v>
      </c>
      <c r="B2">
        <v>4.2341069999999998</v>
      </c>
      <c r="C2">
        <v>4.0953780000000002</v>
      </c>
      <c r="D2">
        <v>1904</v>
      </c>
      <c r="E2">
        <v>6.5042879999999998</v>
      </c>
      <c r="F2">
        <v>6.0317550000000004</v>
      </c>
      <c r="G2">
        <v>1888</v>
      </c>
      <c r="H2">
        <v>3.135494</v>
      </c>
      <c r="I2" t="e">
        <f>NA()</f>
        <v>#N/A</v>
      </c>
      <c r="J2">
        <v>1964</v>
      </c>
      <c r="K2">
        <v>4.1271339999999999</v>
      </c>
      <c r="L2">
        <v>3.8889130000000001</v>
      </c>
    </row>
    <row r="3" spans="1:12">
      <c r="A3">
        <v>1831</v>
      </c>
      <c r="B3">
        <v>4.510859</v>
      </c>
      <c r="C3" t="e">
        <f>NA()</f>
        <v>#N/A</v>
      </c>
      <c r="D3">
        <v>1905</v>
      </c>
      <c r="E3">
        <v>6.7696420000000002</v>
      </c>
      <c r="F3">
        <v>6.3718469999999998</v>
      </c>
      <c r="G3">
        <v>1889</v>
      </c>
      <c r="H3">
        <v>3.1780539999999999</v>
      </c>
      <c r="I3" t="e">
        <f>NA()</f>
        <v>#N/A</v>
      </c>
      <c r="J3">
        <v>1965</v>
      </c>
      <c r="K3">
        <v>4.2195080000000003</v>
      </c>
      <c r="L3">
        <v>4.0285500000000001</v>
      </c>
    </row>
    <row r="4" spans="1:12">
      <c r="A4">
        <v>1832</v>
      </c>
      <c r="B4">
        <v>4.6249729999999998</v>
      </c>
      <c r="C4" t="e">
        <f>NA()</f>
        <v>#N/A</v>
      </c>
      <c r="D4">
        <v>1906</v>
      </c>
      <c r="E4">
        <v>6.9047510000000001</v>
      </c>
      <c r="F4">
        <v>6.467149</v>
      </c>
      <c r="G4">
        <v>1890</v>
      </c>
      <c r="H4">
        <v>3.2188759999999998</v>
      </c>
      <c r="I4">
        <v>3.5648360000000001</v>
      </c>
      <c r="J4">
        <v>1966</v>
      </c>
      <c r="K4">
        <v>4.2195080000000003</v>
      </c>
      <c r="L4">
        <v>4.2802519999999999</v>
      </c>
    </row>
    <row r="5" spans="1:12">
      <c r="A5">
        <v>1833</v>
      </c>
      <c r="B5">
        <v>4.8121840000000002</v>
      </c>
      <c r="C5" t="e">
        <f>NA()</f>
        <v>#N/A</v>
      </c>
      <c r="D5">
        <v>1907</v>
      </c>
      <c r="E5">
        <v>6.9744789999999997</v>
      </c>
      <c r="F5">
        <v>6.6498900000000001</v>
      </c>
      <c r="G5">
        <v>1891</v>
      </c>
      <c r="H5">
        <v>3.3672960000000001</v>
      </c>
      <c r="I5" t="e">
        <f>NA()</f>
        <v>#N/A</v>
      </c>
      <c r="J5">
        <v>1967</v>
      </c>
      <c r="K5">
        <v>4.143135</v>
      </c>
      <c r="L5">
        <v>4.6983280000000001</v>
      </c>
    </row>
    <row r="6" spans="1:12">
      <c r="A6">
        <v>1834</v>
      </c>
      <c r="B6">
        <v>4.8121840000000002</v>
      </c>
      <c r="C6" t="e">
        <f>NA()</f>
        <v>#N/A</v>
      </c>
      <c r="D6">
        <v>1908</v>
      </c>
      <c r="E6">
        <v>7.0387839999999997</v>
      </c>
      <c r="F6">
        <v>6.8436209999999997</v>
      </c>
      <c r="G6">
        <v>1892</v>
      </c>
      <c r="H6">
        <v>3.2188759999999998</v>
      </c>
      <c r="I6" t="e">
        <f>NA()</f>
        <v>#N/A</v>
      </c>
      <c r="J6">
        <v>1968</v>
      </c>
      <c r="K6">
        <v>4.2626799999999996</v>
      </c>
      <c r="L6">
        <v>4.8975299999999997</v>
      </c>
    </row>
    <row r="7" spans="1:12">
      <c r="A7">
        <v>1835</v>
      </c>
      <c r="B7">
        <v>4.9836070000000001</v>
      </c>
      <c r="C7" t="e">
        <f>NA()</f>
        <v>#N/A</v>
      </c>
      <c r="D7">
        <v>1909</v>
      </c>
      <c r="E7">
        <v>7.048387</v>
      </c>
      <c r="F7">
        <v>7.0301830000000001</v>
      </c>
      <c r="G7">
        <v>1893</v>
      </c>
      <c r="H7">
        <v>3.5835189999999999</v>
      </c>
      <c r="I7" t="e">
        <f>NA()</f>
        <v>#N/A</v>
      </c>
      <c r="J7">
        <v>1969</v>
      </c>
      <c r="K7">
        <v>4.5849679999999999</v>
      </c>
      <c r="L7">
        <v>4.7601659999999999</v>
      </c>
    </row>
    <row r="8" spans="1:12">
      <c r="A8">
        <v>1836</v>
      </c>
      <c r="B8">
        <v>5.043425</v>
      </c>
      <c r="C8" t="e">
        <f>NA()</f>
        <v>#N/A</v>
      </c>
      <c r="D8">
        <v>1910</v>
      </c>
      <c r="E8">
        <v>7.044905</v>
      </c>
      <c r="F8">
        <v>7.18133</v>
      </c>
      <c r="G8">
        <v>1894</v>
      </c>
      <c r="H8">
        <v>3.4965079999999999</v>
      </c>
      <c r="I8" t="e">
        <f>NA()</f>
        <v>#N/A</v>
      </c>
      <c r="J8">
        <v>1970</v>
      </c>
      <c r="K8">
        <v>4.5951199999999996</v>
      </c>
      <c r="L8">
        <v>4.5765250000000002</v>
      </c>
    </row>
    <row r="9" spans="1:12">
      <c r="A9">
        <v>1837</v>
      </c>
      <c r="B9">
        <v>5.2626900000000001</v>
      </c>
      <c r="C9" t="e">
        <f>NA()</f>
        <v>#N/A</v>
      </c>
      <c r="D9">
        <v>1911</v>
      </c>
      <c r="E9">
        <v>7.09091</v>
      </c>
      <c r="F9">
        <v>7.2733489999999996</v>
      </c>
      <c r="G9">
        <v>1895</v>
      </c>
      <c r="H9">
        <v>3.5263610000000001</v>
      </c>
      <c r="I9" t="e">
        <f>NA()</f>
        <v>#N/A</v>
      </c>
      <c r="J9">
        <v>1971</v>
      </c>
      <c r="K9">
        <v>4.5643479999999998</v>
      </c>
      <c r="L9">
        <v>4.5937970000000004</v>
      </c>
    </row>
    <row r="10" spans="1:12">
      <c r="A10">
        <v>1838</v>
      </c>
      <c r="B10">
        <v>5.2729999999999997</v>
      </c>
      <c r="C10" t="e">
        <f>NA()</f>
        <v>#N/A</v>
      </c>
      <c r="D10">
        <v>1912</v>
      </c>
      <c r="E10">
        <v>7.2041490000000001</v>
      </c>
      <c r="F10">
        <v>7.380185</v>
      </c>
      <c r="G10">
        <v>1896</v>
      </c>
      <c r="H10">
        <v>3.7612000000000001</v>
      </c>
      <c r="I10" t="e">
        <f>NA()</f>
        <v>#N/A</v>
      </c>
      <c r="J10">
        <v>1972</v>
      </c>
      <c r="K10">
        <v>4.5951199999999996</v>
      </c>
      <c r="L10">
        <v>4.7032059999999998</v>
      </c>
    </row>
    <row r="11" spans="1:12">
      <c r="A11">
        <v>1839</v>
      </c>
      <c r="B11">
        <v>5.308268</v>
      </c>
      <c r="C11" t="e">
        <f>NA()</f>
        <v>#N/A</v>
      </c>
      <c r="D11">
        <v>1913</v>
      </c>
      <c r="E11">
        <v>7.3132210000000004</v>
      </c>
      <c r="F11">
        <v>7.5039819999999997</v>
      </c>
      <c r="G11">
        <v>1897</v>
      </c>
      <c r="H11">
        <v>3.8286410000000002</v>
      </c>
      <c r="I11" t="e">
        <f>NA()</f>
        <v>#N/A</v>
      </c>
      <c r="J11">
        <v>1973</v>
      </c>
      <c r="K11">
        <v>4.7004799999999998</v>
      </c>
      <c r="L11">
        <v>4.749428</v>
      </c>
    </row>
    <row r="12" spans="1:12">
      <c r="A12">
        <v>1840</v>
      </c>
      <c r="B12">
        <v>5.1647860000000003</v>
      </c>
      <c r="C12">
        <v>5.0466850000000001</v>
      </c>
      <c r="D12">
        <v>1914</v>
      </c>
      <c r="E12">
        <v>7.443079</v>
      </c>
      <c r="F12">
        <v>7.6818200000000001</v>
      </c>
      <c r="G12">
        <v>1898</v>
      </c>
      <c r="H12">
        <v>3.8712010000000001</v>
      </c>
      <c r="I12" t="e">
        <f>NA()</f>
        <v>#N/A</v>
      </c>
      <c r="J12">
        <v>1974</v>
      </c>
      <c r="K12">
        <v>4.7957910000000004</v>
      </c>
      <c r="L12">
        <v>4.7602500000000001</v>
      </c>
    </row>
    <row r="13" spans="1:12">
      <c r="A13">
        <v>1841</v>
      </c>
      <c r="B13">
        <v>5.4380790000000001</v>
      </c>
      <c r="C13" t="e">
        <f>NA()</f>
        <v>#N/A</v>
      </c>
      <c r="D13">
        <v>1915</v>
      </c>
      <c r="E13" t="e">
        <f>NA()</f>
        <v>#N/A</v>
      </c>
      <c r="F13" t="e">
        <f>NA()</f>
        <v>#N/A</v>
      </c>
      <c r="G13">
        <v>1899</v>
      </c>
      <c r="H13">
        <v>4.0604430000000002</v>
      </c>
      <c r="I13" t="e">
        <f>NA()</f>
        <v>#N/A</v>
      </c>
      <c r="J13">
        <v>1975</v>
      </c>
      <c r="K13">
        <v>4.9558270000000002</v>
      </c>
      <c r="L13">
        <v>4.9564490000000001</v>
      </c>
    </row>
    <row r="14" spans="1:12">
      <c r="A14">
        <v>1842</v>
      </c>
      <c r="B14">
        <v>5.4680600000000004</v>
      </c>
      <c r="C14" t="e">
        <f>NA()</f>
        <v>#N/A</v>
      </c>
      <c r="D14">
        <v>1916</v>
      </c>
      <c r="E14" t="e">
        <f>NA()</f>
        <v>#N/A</v>
      </c>
      <c r="F14" t="e">
        <f>NA()</f>
        <v>#N/A</v>
      </c>
      <c r="G14">
        <v>1900</v>
      </c>
      <c r="H14">
        <v>4.1271339999999999</v>
      </c>
      <c r="I14">
        <v>4.0742649999999996</v>
      </c>
      <c r="J14">
        <v>1976</v>
      </c>
      <c r="K14">
        <v>5.2040069999999998</v>
      </c>
      <c r="L14">
        <v>4.9730160000000003</v>
      </c>
    </row>
    <row r="15" spans="1:12">
      <c r="A15">
        <v>1843</v>
      </c>
      <c r="B15">
        <v>5.6058019999999997</v>
      </c>
      <c r="C15" t="e">
        <f>NA()</f>
        <v>#N/A</v>
      </c>
      <c r="D15">
        <v>1917</v>
      </c>
      <c r="E15" t="e">
        <f>NA()</f>
        <v>#N/A</v>
      </c>
      <c r="F15" t="e">
        <f>NA()</f>
        <v>#N/A</v>
      </c>
      <c r="G15">
        <v>1901</v>
      </c>
      <c r="H15">
        <v>4.0943449999999997</v>
      </c>
      <c r="I15">
        <v>4.1013070000000003</v>
      </c>
      <c r="J15">
        <v>1977</v>
      </c>
      <c r="K15">
        <v>5.8171109999999997</v>
      </c>
      <c r="L15">
        <v>5.0767350000000002</v>
      </c>
    </row>
    <row r="16" spans="1:12">
      <c r="A16">
        <v>1844</v>
      </c>
      <c r="B16">
        <v>5.7868969999999997</v>
      </c>
      <c r="C16" t="e">
        <f>NA()</f>
        <v>#N/A</v>
      </c>
      <c r="D16">
        <v>1918</v>
      </c>
      <c r="E16" t="e">
        <f>NA()</f>
        <v>#N/A</v>
      </c>
      <c r="F16" t="e">
        <f>NA()</f>
        <v>#N/A</v>
      </c>
      <c r="G16">
        <v>1902</v>
      </c>
      <c r="H16">
        <v>4.1896550000000001</v>
      </c>
      <c r="I16">
        <v>4.2637169999999998</v>
      </c>
      <c r="J16">
        <v>1978</v>
      </c>
      <c r="K16">
        <v>5.7807440000000003</v>
      </c>
      <c r="L16">
        <v>5.3072280000000003</v>
      </c>
    </row>
    <row r="17" spans="1:12">
      <c r="A17">
        <v>1845</v>
      </c>
      <c r="B17">
        <v>5.8522020000000001</v>
      </c>
      <c r="C17" t="e">
        <f>NA()</f>
        <v>#N/A</v>
      </c>
      <c r="D17">
        <v>1919</v>
      </c>
      <c r="E17">
        <v>7.7514750000000001</v>
      </c>
      <c r="F17">
        <v>7.767207</v>
      </c>
      <c r="G17">
        <v>1903</v>
      </c>
      <c r="H17">
        <v>4.2904600000000004</v>
      </c>
      <c r="I17">
        <v>4.2207809999999997</v>
      </c>
      <c r="J17">
        <v>1979</v>
      </c>
      <c r="K17">
        <v>5.948035</v>
      </c>
      <c r="L17">
        <v>5.3688149999999997</v>
      </c>
    </row>
    <row r="18" spans="1:12">
      <c r="A18">
        <v>1846</v>
      </c>
      <c r="B18">
        <v>6.0038869999999998</v>
      </c>
      <c r="C18" t="e">
        <f>NA()</f>
        <v>#N/A</v>
      </c>
      <c r="D18">
        <v>1920</v>
      </c>
      <c r="E18">
        <v>8.0050329999999992</v>
      </c>
      <c r="F18">
        <v>7.956245</v>
      </c>
      <c r="G18">
        <v>1904</v>
      </c>
      <c r="H18">
        <v>4.3694480000000002</v>
      </c>
      <c r="I18">
        <v>4.220135</v>
      </c>
      <c r="J18">
        <v>1980</v>
      </c>
      <c r="K18">
        <v>6.2106000000000003</v>
      </c>
      <c r="L18">
        <v>5.4935530000000004</v>
      </c>
    </row>
    <row r="19" spans="1:12">
      <c r="A19">
        <v>1847</v>
      </c>
      <c r="B19">
        <v>6.0591229999999996</v>
      </c>
      <c r="C19" t="e">
        <f>NA()</f>
        <v>#N/A</v>
      </c>
      <c r="D19">
        <v>1921</v>
      </c>
      <c r="E19">
        <v>8.118207</v>
      </c>
      <c r="F19">
        <v>7.9242119999999998</v>
      </c>
      <c r="G19">
        <v>1905</v>
      </c>
      <c r="H19">
        <v>4.4426509999999997</v>
      </c>
      <c r="I19">
        <v>4.1901570000000001</v>
      </c>
      <c r="J19">
        <v>1981</v>
      </c>
      <c r="K19">
        <v>6.1654179999999998</v>
      </c>
      <c r="L19">
        <v>5.7497030000000002</v>
      </c>
    </row>
    <row r="20" spans="1:12">
      <c r="A20">
        <v>1848</v>
      </c>
      <c r="B20">
        <v>6.1355649999999997</v>
      </c>
      <c r="C20" t="e">
        <f>NA()</f>
        <v>#N/A</v>
      </c>
      <c r="D20">
        <v>1922</v>
      </c>
      <c r="E20">
        <v>8.1850719999999999</v>
      </c>
      <c r="F20">
        <v>8.0323670000000007</v>
      </c>
      <c r="G20">
        <v>1906</v>
      </c>
      <c r="H20">
        <v>4.75359</v>
      </c>
      <c r="I20">
        <v>4.2587299999999999</v>
      </c>
      <c r="J20">
        <v>1982</v>
      </c>
      <c r="K20">
        <v>6.1377269999999999</v>
      </c>
      <c r="L20">
        <v>5.9021400000000002</v>
      </c>
    </row>
    <row r="21" spans="1:12">
      <c r="A21">
        <v>1849</v>
      </c>
      <c r="B21">
        <v>6.265301</v>
      </c>
      <c r="C21" t="e">
        <f>NA()</f>
        <v>#N/A</v>
      </c>
      <c r="D21">
        <v>1923</v>
      </c>
      <c r="E21">
        <v>8.1897990000000007</v>
      </c>
      <c r="F21">
        <v>8.1338010000000001</v>
      </c>
      <c r="G21">
        <v>1907</v>
      </c>
      <c r="H21">
        <v>4.70953</v>
      </c>
      <c r="I21">
        <v>4.3642760000000003</v>
      </c>
      <c r="J21">
        <v>1983</v>
      </c>
      <c r="K21">
        <v>6.1398840000000003</v>
      </c>
      <c r="L21">
        <v>6.0965499999999997</v>
      </c>
    </row>
    <row r="22" spans="1:12">
      <c r="A22">
        <v>1850</v>
      </c>
      <c r="B22">
        <v>6.3699009999999996</v>
      </c>
      <c r="C22">
        <v>5.8190410000000004</v>
      </c>
      <c r="D22">
        <v>1924</v>
      </c>
      <c r="E22">
        <v>8.2540080000000007</v>
      </c>
      <c r="F22">
        <v>8.1981140000000003</v>
      </c>
      <c r="G22">
        <v>1908</v>
      </c>
      <c r="H22">
        <v>4.70953</v>
      </c>
      <c r="I22">
        <v>4.3737880000000002</v>
      </c>
      <c r="J22">
        <v>1984</v>
      </c>
      <c r="K22">
        <v>6.09131</v>
      </c>
      <c r="L22">
        <v>6.2649119999999998</v>
      </c>
    </row>
    <row r="23" spans="1:12">
      <c r="A23">
        <v>1851</v>
      </c>
      <c r="B23">
        <v>6.466145</v>
      </c>
      <c r="C23" t="e">
        <f>NA()</f>
        <v>#N/A</v>
      </c>
      <c r="D23">
        <v>1925</v>
      </c>
      <c r="E23">
        <v>8.273847</v>
      </c>
      <c r="F23">
        <v>8.2467659999999992</v>
      </c>
      <c r="G23">
        <v>1909</v>
      </c>
      <c r="H23">
        <v>4.7273880000000004</v>
      </c>
      <c r="I23">
        <v>4.4414129999999998</v>
      </c>
      <c r="J23">
        <v>1985</v>
      </c>
      <c r="K23">
        <v>6.0935699999999997</v>
      </c>
      <c r="L23">
        <v>6.2791870000000003</v>
      </c>
    </row>
    <row r="24" spans="1:12">
      <c r="A24">
        <v>1852</v>
      </c>
      <c r="B24">
        <v>6.4052290000000003</v>
      </c>
      <c r="C24" t="e">
        <f>NA()</f>
        <v>#N/A</v>
      </c>
      <c r="D24">
        <v>1926</v>
      </c>
      <c r="E24">
        <v>8.2860169999999993</v>
      </c>
      <c r="F24">
        <v>8.339893</v>
      </c>
      <c r="G24">
        <v>1910</v>
      </c>
      <c r="H24">
        <v>4.8598119999999998</v>
      </c>
      <c r="I24">
        <v>4.4804440000000003</v>
      </c>
      <c r="J24">
        <v>1986</v>
      </c>
      <c r="K24">
        <v>6.3350540000000004</v>
      </c>
      <c r="L24">
        <v>6.369707</v>
      </c>
    </row>
    <row r="25" spans="1:12">
      <c r="A25">
        <v>1853</v>
      </c>
      <c r="B25">
        <v>6.517671</v>
      </c>
      <c r="C25" t="e">
        <f>NA()</f>
        <v>#N/A</v>
      </c>
      <c r="D25">
        <v>1927</v>
      </c>
      <c r="E25">
        <v>8.3022659999999995</v>
      </c>
      <c r="F25">
        <v>8.4224840000000007</v>
      </c>
      <c r="G25">
        <v>1911</v>
      </c>
      <c r="H25">
        <v>4.9836070000000001</v>
      </c>
      <c r="I25">
        <v>4.5887349999999998</v>
      </c>
      <c r="J25">
        <v>1987</v>
      </c>
      <c r="K25">
        <v>6.3868790000000004</v>
      </c>
      <c r="L25">
        <v>6.5046010000000001</v>
      </c>
    </row>
    <row r="26" spans="1:12">
      <c r="A26">
        <v>1854</v>
      </c>
      <c r="B26">
        <v>6.6463900000000002</v>
      </c>
      <c r="C26" t="e">
        <f>NA()</f>
        <v>#N/A</v>
      </c>
      <c r="D26">
        <v>1928</v>
      </c>
      <c r="E26">
        <v>8.3284509999999994</v>
      </c>
      <c r="F26">
        <v>8.4181589999999993</v>
      </c>
      <c r="G26">
        <v>1912</v>
      </c>
      <c r="H26">
        <v>5.0106349999999997</v>
      </c>
      <c r="I26">
        <v>4.6160449999999997</v>
      </c>
      <c r="J26">
        <v>1988</v>
      </c>
      <c r="K26">
        <v>6.3750249999999999</v>
      </c>
      <c r="L26">
        <v>6.5036329999999998</v>
      </c>
    </row>
    <row r="27" spans="1:12">
      <c r="A27">
        <v>1855</v>
      </c>
      <c r="B27">
        <v>6.5117450000000003</v>
      </c>
      <c r="C27" t="e">
        <f>NA()</f>
        <v>#N/A</v>
      </c>
      <c r="D27">
        <v>1929</v>
      </c>
      <c r="E27">
        <v>8.3397400000000008</v>
      </c>
      <c r="F27">
        <v>8.4734090000000002</v>
      </c>
      <c r="G27">
        <v>1913</v>
      </c>
      <c r="H27">
        <v>5.0562459999999998</v>
      </c>
      <c r="I27">
        <v>4.7339479999999998</v>
      </c>
      <c r="J27">
        <v>1989</v>
      </c>
      <c r="K27">
        <v>6.2146080000000001</v>
      </c>
      <c r="L27">
        <v>6.5436930000000002</v>
      </c>
    </row>
    <row r="28" spans="1:12">
      <c r="A28">
        <v>1856</v>
      </c>
      <c r="B28">
        <v>6.559615</v>
      </c>
      <c r="C28" t="e">
        <f>NA()</f>
        <v>#N/A</v>
      </c>
      <c r="D28">
        <v>1930</v>
      </c>
      <c r="E28">
        <v>8.3703160000000008</v>
      </c>
      <c r="F28">
        <v>8.6697869999999995</v>
      </c>
      <c r="G28">
        <v>1914</v>
      </c>
      <c r="H28">
        <v>5.0998659999999996</v>
      </c>
      <c r="I28">
        <v>4.9916289999999996</v>
      </c>
      <c r="J28">
        <v>1990</v>
      </c>
      <c r="K28">
        <v>6.2065760000000001</v>
      </c>
      <c r="L28">
        <v>6.5981990000000001</v>
      </c>
    </row>
    <row r="29" spans="1:12">
      <c r="A29">
        <v>1857</v>
      </c>
      <c r="B29">
        <v>6.5916740000000003</v>
      </c>
      <c r="C29" t="e">
        <f>NA()</f>
        <v>#N/A</v>
      </c>
      <c r="D29">
        <v>1931</v>
      </c>
      <c r="E29">
        <v>8.360773</v>
      </c>
      <c r="F29">
        <v>8.7553070000000002</v>
      </c>
      <c r="G29">
        <v>1915</v>
      </c>
      <c r="H29">
        <v>5.0875959999999996</v>
      </c>
      <c r="I29">
        <v>5.0818880000000002</v>
      </c>
      <c r="J29">
        <v>1991</v>
      </c>
      <c r="K29">
        <v>6.2005090000000003</v>
      </c>
      <c r="L29">
        <v>6.641019</v>
      </c>
    </row>
    <row r="30" spans="1:12">
      <c r="A30">
        <v>1858</v>
      </c>
      <c r="B30">
        <v>6.6437900000000001</v>
      </c>
      <c r="C30" t="e">
        <f>NA()</f>
        <v>#N/A</v>
      </c>
      <c r="D30">
        <v>1932</v>
      </c>
      <c r="E30">
        <v>8.3558500000000002</v>
      </c>
      <c r="F30">
        <v>8.7435430000000007</v>
      </c>
      <c r="G30">
        <v>1916</v>
      </c>
      <c r="H30">
        <v>4.9904330000000003</v>
      </c>
      <c r="I30">
        <v>5.207344</v>
      </c>
      <c r="J30">
        <v>1992</v>
      </c>
      <c r="K30">
        <v>6.2205899999999996</v>
      </c>
      <c r="L30">
        <v>6.725168</v>
      </c>
    </row>
    <row r="31" spans="1:12">
      <c r="A31">
        <v>1859</v>
      </c>
      <c r="B31">
        <v>6.7661910000000001</v>
      </c>
      <c r="C31" t="e">
        <f>NA()</f>
        <v>#N/A</v>
      </c>
      <c r="D31">
        <v>1933</v>
      </c>
      <c r="E31">
        <v>8.3565550000000002</v>
      </c>
      <c r="F31">
        <v>8.7130159999999997</v>
      </c>
      <c r="G31">
        <v>1917</v>
      </c>
      <c r="H31">
        <v>4.9628449999999997</v>
      </c>
      <c r="I31">
        <v>5.4031140000000004</v>
      </c>
    </row>
    <row r="32" spans="1:12">
      <c r="A32">
        <v>1860</v>
      </c>
      <c r="B32">
        <v>6.7765069999999996</v>
      </c>
      <c r="C32">
        <v>6.4128540000000003</v>
      </c>
      <c r="D32">
        <v>1934</v>
      </c>
      <c r="E32">
        <v>8.3121349999999996</v>
      </c>
      <c r="F32">
        <v>8.7991349999999997</v>
      </c>
      <c r="G32">
        <v>1918</v>
      </c>
      <c r="H32">
        <v>4.9344739999999998</v>
      </c>
      <c r="I32">
        <v>5.2621909999999996</v>
      </c>
    </row>
    <row r="33" spans="1:9">
      <c r="A33">
        <v>1861</v>
      </c>
      <c r="B33">
        <v>6.5652650000000001</v>
      </c>
      <c r="C33" t="e">
        <f>NA()</f>
        <v>#N/A</v>
      </c>
      <c r="D33">
        <v>1935</v>
      </c>
      <c r="E33">
        <v>8.3153220000000001</v>
      </c>
      <c r="F33">
        <v>8.8587369999999996</v>
      </c>
      <c r="G33">
        <v>1919</v>
      </c>
      <c r="H33">
        <v>5.09375</v>
      </c>
      <c r="I33">
        <v>5.2983739999999999</v>
      </c>
    </row>
    <row r="34" spans="1:9">
      <c r="A34">
        <v>1862</v>
      </c>
      <c r="B34">
        <v>6.3561079999999999</v>
      </c>
      <c r="C34" t="e">
        <f>NA()</f>
        <v>#N/A</v>
      </c>
      <c r="D34">
        <v>1936</v>
      </c>
      <c r="E34">
        <v>8.3466419999999992</v>
      </c>
      <c r="F34">
        <v>8.8530329999999999</v>
      </c>
      <c r="G34">
        <v>1920</v>
      </c>
      <c r="H34">
        <v>5.003946</v>
      </c>
      <c r="I34">
        <v>5.2975120000000002</v>
      </c>
    </row>
    <row r="35" spans="1:9">
      <c r="A35">
        <v>1863</v>
      </c>
      <c r="B35">
        <v>6.8855089999999999</v>
      </c>
      <c r="C35" t="e">
        <f>NA()</f>
        <v>#N/A</v>
      </c>
      <c r="D35">
        <v>1937</v>
      </c>
      <c r="E35">
        <v>8.4062610000000006</v>
      </c>
      <c r="F35">
        <v>8.8828390000000006</v>
      </c>
      <c r="G35">
        <v>1921</v>
      </c>
      <c r="H35">
        <v>5.0751739999999996</v>
      </c>
      <c r="I35">
        <v>5.3658130000000002</v>
      </c>
    </row>
    <row r="36" spans="1:9">
      <c r="A36">
        <v>1864</v>
      </c>
      <c r="B36">
        <v>6.9726059999999999</v>
      </c>
      <c r="C36" t="e">
        <f>NA()</f>
        <v>#N/A</v>
      </c>
      <c r="D36">
        <v>1938</v>
      </c>
      <c r="E36">
        <v>8.5185919999999999</v>
      </c>
      <c r="F36">
        <v>8.8712169999999997</v>
      </c>
      <c r="G36">
        <v>1922</v>
      </c>
      <c r="H36">
        <v>5.0875959999999996</v>
      </c>
      <c r="I36">
        <v>5.3762270000000001</v>
      </c>
    </row>
    <row r="37" spans="1:9">
      <c r="A37">
        <v>1865</v>
      </c>
      <c r="B37">
        <v>6.9884130000000004</v>
      </c>
      <c r="C37" t="e">
        <f>NA()</f>
        <v>#N/A</v>
      </c>
      <c r="D37">
        <v>1939</v>
      </c>
      <c r="E37">
        <v>8.6358639999999998</v>
      </c>
      <c r="F37">
        <v>8.7473960000000002</v>
      </c>
      <c r="G37">
        <v>1923</v>
      </c>
      <c r="H37">
        <v>5.081404</v>
      </c>
      <c r="I37">
        <v>5.3612859999999998</v>
      </c>
    </row>
    <row r="38" spans="1:9">
      <c r="A38">
        <v>1866</v>
      </c>
      <c r="B38">
        <v>7.0833880000000002</v>
      </c>
      <c r="C38" t="e">
        <f>NA()</f>
        <v>#N/A</v>
      </c>
      <c r="D38">
        <v>1940</v>
      </c>
      <c r="E38">
        <v>8.6903059999999996</v>
      </c>
      <c r="F38">
        <v>8.781606</v>
      </c>
      <c r="G38">
        <v>1924</v>
      </c>
      <c r="H38">
        <v>5.1873860000000001</v>
      </c>
      <c r="I38">
        <v>5.3853799999999996</v>
      </c>
    </row>
    <row r="39" spans="1:9">
      <c r="A39">
        <v>1867</v>
      </c>
      <c r="B39">
        <v>7.0892429999999997</v>
      </c>
      <c r="C39" t="e">
        <f>NA()</f>
        <v>#N/A</v>
      </c>
      <c r="D39">
        <v>1941</v>
      </c>
      <c r="E39">
        <v>8.7601390000000006</v>
      </c>
      <c r="F39">
        <v>8.8487380000000009</v>
      </c>
      <c r="G39">
        <v>1925</v>
      </c>
      <c r="H39">
        <v>5.3132060000000001</v>
      </c>
      <c r="I39">
        <v>5.5011539999999997</v>
      </c>
    </row>
    <row r="40" spans="1:9">
      <c r="A40">
        <v>1868</v>
      </c>
      <c r="B40">
        <v>7.0066949999999997</v>
      </c>
      <c r="C40" t="e">
        <f>NA()</f>
        <v>#N/A</v>
      </c>
      <c r="D40">
        <v>1942</v>
      </c>
      <c r="E40">
        <v>8.6330179999999999</v>
      </c>
      <c r="F40">
        <v>8.9394100000000005</v>
      </c>
      <c r="G40">
        <v>1926</v>
      </c>
      <c r="H40">
        <v>5.3752779999999998</v>
      </c>
      <c r="I40">
        <v>5.5450900000000001</v>
      </c>
    </row>
    <row r="41" spans="1:9">
      <c r="A41">
        <v>1869</v>
      </c>
      <c r="B41">
        <v>6.9800760000000004</v>
      </c>
      <c r="C41" t="e">
        <f>NA()</f>
        <v>#N/A</v>
      </c>
      <c r="D41">
        <v>1943</v>
      </c>
      <c r="E41">
        <v>8.5139879999999994</v>
      </c>
      <c r="F41">
        <v>9.0018170000000008</v>
      </c>
      <c r="G41">
        <v>1927</v>
      </c>
      <c r="H41">
        <v>5.47227</v>
      </c>
      <c r="I41">
        <v>5.5623500000000003</v>
      </c>
    </row>
    <row r="42" spans="1:9">
      <c r="A42">
        <v>1870</v>
      </c>
      <c r="B42">
        <v>6.9920960000000001</v>
      </c>
      <c r="C42">
        <v>6.9782000000000002</v>
      </c>
      <c r="D42">
        <v>1944</v>
      </c>
      <c r="E42">
        <v>8.2284439999999996</v>
      </c>
      <c r="F42">
        <v>9.1460019999999993</v>
      </c>
      <c r="G42">
        <v>1928</v>
      </c>
      <c r="H42">
        <v>5.5797299999999996</v>
      </c>
      <c r="I42">
        <v>5.5889300000000004</v>
      </c>
    </row>
    <row r="43" spans="1:9">
      <c r="A43">
        <v>1871</v>
      </c>
      <c r="B43">
        <v>7.013916</v>
      </c>
      <c r="C43">
        <v>7.0143180000000003</v>
      </c>
      <c r="D43">
        <v>1945</v>
      </c>
      <c r="E43">
        <v>7.1585140000000003</v>
      </c>
      <c r="F43">
        <v>10.08183</v>
      </c>
      <c r="G43">
        <v>1929</v>
      </c>
      <c r="H43">
        <v>5.616771</v>
      </c>
      <c r="I43">
        <v>5.6332380000000004</v>
      </c>
    </row>
    <row r="44" spans="1:9">
      <c r="A44">
        <v>1872</v>
      </c>
      <c r="B44">
        <v>7.052721</v>
      </c>
      <c r="C44">
        <v>7.0650649999999997</v>
      </c>
      <c r="D44">
        <v>1946</v>
      </c>
      <c r="E44">
        <v>7.1884129999999997</v>
      </c>
      <c r="F44">
        <v>10.0512</v>
      </c>
      <c r="G44">
        <v>1930</v>
      </c>
      <c r="H44">
        <v>5.6970929999999997</v>
      </c>
      <c r="I44">
        <v>5.7891159999999999</v>
      </c>
    </row>
    <row r="45" spans="1:9">
      <c r="A45">
        <v>1873</v>
      </c>
      <c r="B45">
        <v>7.078341</v>
      </c>
      <c r="C45">
        <v>7.1023209999999999</v>
      </c>
      <c r="D45">
        <v>1947</v>
      </c>
      <c r="E45">
        <v>7.2463680000000004</v>
      </c>
      <c r="F45">
        <v>10.026490000000001</v>
      </c>
      <c r="G45">
        <v>1931</v>
      </c>
      <c r="H45">
        <v>5.7137330000000004</v>
      </c>
      <c r="I45">
        <v>5.9763320000000002</v>
      </c>
    </row>
    <row r="46" spans="1:9">
      <c r="A46">
        <v>1874</v>
      </c>
      <c r="B46">
        <v>7.063904</v>
      </c>
      <c r="C46">
        <v>7.2107570000000001</v>
      </c>
      <c r="D46">
        <v>1948</v>
      </c>
      <c r="E46">
        <v>6.9314720000000003</v>
      </c>
      <c r="F46">
        <v>9.9516369999999998</v>
      </c>
      <c r="G46">
        <v>1932</v>
      </c>
      <c r="H46">
        <v>5.7430029999999999</v>
      </c>
      <c r="I46">
        <v>6.104546</v>
      </c>
    </row>
    <row r="47" spans="1:9">
      <c r="A47">
        <v>1875</v>
      </c>
      <c r="B47">
        <v>7.0664670000000003</v>
      </c>
      <c r="C47">
        <v>7.2418839999999998</v>
      </c>
      <c r="D47">
        <v>1949</v>
      </c>
      <c r="E47">
        <v>7.3550019999999998</v>
      </c>
      <c r="F47">
        <v>9.9663079999999997</v>
      </c>
      <c r="G47">
        <v>1933</v>
      </c>
      <c r="H47">
        <v>5.7620519999999997</v>
      </c>
      <c r="I47">
        <v>6.1250910000000003</v>
      </c>
    </row>
    <row r="48" spans="1:9">
      <c r="A48">
        <v>1876</v>
      </c>
      <c r="B48">
        <v>7.0630480000000002</v>
      </c>
      <c r="C48">
        <v>7.3235250000000001</v>
      </c>
      <c r="D48">
        <v>1950</v>
      </c>
      <c r="E48">
        <v>7.5342279999999997</v>
      </c>
      <c r="F48">
        <v>9.9502989999999993</v>
      </c>
      <c r="G48">
        <v>1934</v>
      </c>
      <c r="H48">
        <v>5.7557419999999997</v>
      </c>
      <c r="I48">
        <v>6.102131</v>
      </c>
    </row>
    <row r="49" spans="1:9">
      <c r="A49">
        <v>1877</v>
      </c>
      <c r="B49">
        <v>7.0630480000000002</v>
      </c>
      <c r="C49">
        <v>7.3770730000000002</v>
      </c>
      <c r="D49">
        <v>1951</v>
      </c>
      <c r="E49">
        <v>7.6879970000000002</v>
      </c>
      <c r="F49">
        <v>9.8798729999999999</v>
      </c>
      <c r="G49">
        <v>1935</v>
      </c>
      <c r="H49">
        <v>5.758902</v>
      </c>
      <c r="I49">
        <v>6.1220889999999999</v>
      </c>
    </row>
    <row r="50" spans="1:9">
      <c r="A50">
        <v>1878</v>
      </c>
      <c r="B50">
        <v>7.0698740000000004</v>
      </c>
      <c r="C50">
        <v>7.4171659999999999</v>
      </c>
      <c r="D50">
        <v>1952</v>
      </c>
      <c r="E50">
        <v>7.9327209999999999</v>
      </c>
      <c r="F50">
        <v>9.8170289999999998</v>
      </c>
      <c r="G50">
        <v>1936</v>
      </c>
      <c r="H50">
        <v>5.7203119999999998</v>
      </c>
      <c r="I50">
        <v>6.1904839999999997</v>
      </c>
    </row>
    <row r="51" spans="1:9">
      <c r="A51">
        <v>1879</v>
      </c>
      <c r="B51" t="e">
        <f>NA()</f>
        <v>#N/A</v>
      </c>
      <c r="C51" t="e">
        <f>NA()</f>
        <v>#N/A</v>
      </c>
      <c r="D51">
        <v>1953</v>
      </c>
      <c r="E51">
        <v>8.086411</v>
      </c>
      <c r="F51">
        <v>9.8015550000000005</v>
      </c>
      <c r="G51">
        <v>1937</v>
      </c>
      <c r="H51">
        <v>5.6801719999999998</v>
      </c>
      <c r="I51">
        <v>6.1766629999999996</v>
      </c>
    </row>
    <row r="52" spans="1:9">
      <c r="A52">
        <v>1880</v>
      </c>
      <c r="B52">
        <v>7.1000269999999999</v>
      </c>
      <c r="C52">
        <v>7.3022960000000001</v>
      </c>
      <c r="D52">
        <v>1954</v>
      </c>
      <c r="E52">
        <v>8.1825589999999995</v>
      </c>
      <c r="F52">
        <v>9.8039839999999998</v>
      </c>
      <c r="G52">
        <v>1938</v>
      </c>
      <c r="H52">
        <v>5.6383549999999998</v>
      </c>
      <c r="I52">
        <v>6.2499729999999998</v>
      </c>
    </row>
    <row r="53" spans="1:9">
      <c r="A53">
        <v>1881</v>
      </c>
      <c r="B53">
        <v>7.1428279999999997</v>
      </c>
      <c r="C53">
        <v>7.3575400000000002</v>
      </c>
      <c r="D53">
        <v>1955</v>
      </c>
      <c r="E53">
        <v>8.2255029999999998</v>
      </c>
      <c r="F53">
        <v>9.7684560000000005</v>
      </c>
      <c r="G53">
        <v>1939</v>
      </c>
      <c r="H53">
        <v>5.6733229999999999</v>
      </c>
      <c r="I53">
        <v>6.2831260000000002</v>
      </c>
    </row>
    <row r="54" spans="1:9">
      <c r="A54">
        <v>1882</v>
      </c>
      <c r="B54">
        <v>7.2122950000000001</v>
      </c>
      <c r="C54">
        <v>7.3755470000000001</v>
      </c>
      <c r="D54">
        <v>1956</v>
      </c>
      <c r="E54">
        <v>8.3128709999999995</v>
      </c>
      <c r="F54">
        <v>9.7426359999999992</v>
      </c>
      <c r="G54">
        <v>1940</v>
      </c>
      <c r="H54" t="e">
        <f>NA()</f>
        <v>#N/A</v>
      </c>
      <c r="I54" t="e">
        <f>NA()</f>
        <v>#N/A</v>
      </c>
    </row>
    <row r="55" spans="1:9">
      <c r="A55">
        <v>1883</v>
      </c>
      <c r="B55">
        <v>7.2534700000000001</v>
      </c>
      <c r="C55">
        <v>7.4418249999999997</v>
      </c>
      <c r="D55">
        <v>1957</v>
      </c>
      <c r="E55">
        <v>8.3927630000000004</v>
      </c>
      <c r="F55">
        <v>9.7148850000000007</v>
      </c>
      <c r="G55">
        <v>1941</v>
      </c>
      <c r="H55">
        <v>5.8692970000000004</v>
      </c>
      <c r="I55">
        <v>6.3410200000000003</v>
      </c>
    </row>
    <row r="56" spans="1:9">
      <c r="A56">
        <v>1884</v>
      </c>
      <c r="B56">
        <v>7.2902930000000001</v>
      </c>
      <c r="C56">
        <v>7.5148130000000002</v>
      </c>
      <c r="D56">
        <v>1958</v>
      </c>
      <c r="E56">
        <v>8.6061189999999996</v>
      </c>
      <c r="F56">
        <v>9.7057669999999998</v>
      </c>
      <c r="G56">
        <v>1942</v>
      </c>
      <c r="H56">
        <v>6.3473889999999997</v>
      </c>
      <c r="I56">
        <v>6.4017410000000003</v>
      </c>
    </row>
    <row r="57" spans="1:9">
      <c r="A57">
        <v>1885</v>
      </c>
      <c r="B57">
        <v>7.309882</v>
      </c>
      <c r="C57">
        <v>7.5999369999999997</v>
      </c>
      <c r="D57">
        <v>1959</v>
      </c>
      <c r="E57">
        <v>8.7446470000000005</v>
      </c>
      <c r="F57">
        <v>9.657743</v>
      </c>
      <c r="G57">
        <v>1943</v>
      </c>
      <c r="H57">
        <v>6.5264949999999997</v>
      </c>
      <c r="I57">
        <v>6.4880180000000003</v>
      </c>
    </row>
    <row r="58" spans="1:9">
      <c r="A58">
        <v>1886</v>
      </c>
      <c r="B58">
        <v>7.3284370000000001</v>
      </c>
      <c r="C58">
        <v>7.6545040000000002</v>
      </c>
      <c r="D58">
        <v>1960</v>
      </c>
      <c r="E58">
        <v>8.8437599999999996</v>
      </c>
      <c r="F58">
        <v>9.5588639999999998</v>
      </c>
      <c r="G58">
        <v>1944</v>
      </c>
      <c r="H58">
        <v>6.7019609999999998</v>
      </c>
      <c r="I58">
        <v>6.4234169999999997</v>
      </c>
    </row>
    <row r="59" spans="1:9">
      <c r="A59">
        <v>1887</v>
      </c>
      <c r="B59">
        <v>7.3414840000000003</v>
      </c>
      <c r="C59">
        <v>7.6886549999999998</v>
      </c>
      <c r="D59">
        <v>1961</v>
      </c>
      <c r="E59">
        <v>8.9814299999999996</v>
      </c>
      <c r="F59">
        <v>9.4736530000000005</v>
      </c>
      <c r="G59">
        <v>1945</v>
      </c>
      <c r="H59">
        <v>6.817831</v>
      </c>
      <c r="I59">
        <v>6.5443009999999999</v>
      </c>
    </row>
    <row r="60" spans="1:9">
      <c r="A60">
        <v>1888</v>
      </c>
      <c r="B60">
        <v>7.4073180000000001</v>
      </c>
      <c r="C60">
        <v>7.7858910000000003</v>
      </c>
      <c r="D60">
        <v>1962</v>
      </c>
      <c r="E60">
        <v>9.0904299999999996</v>
      </c>
      <c r="F60">
        <v>9.4261009999999992</v>
      </c>
      <c r="G60">
        <v>1946</v>
      </c>
      <c r="H60">
        <v>6.8865319999999999</v>
      </c>
      <c r="I60">
        <v>6.5088059999999999</v>
      </c>
    </row>
    <row r="61" spans="1:9">
      <c r="A61">
        <v>1889</v>
      </c>
      <c r="B61">
        <v>7.4764720000000002</v>
      </c>
      <c r="C61">
        <v>7.7962189999999998</v>
      </c>
      <c r="D61">
        <v>1963</v>
      </c>
      <c r="E61">
        <v>9.2080369999999991</v>
      </c>
      <c r="F61">
        <v>9.3857730000000004</v>
      </c>
      <c r="G61">
        <v>1947</v>
      </c>
      <c r="H61">
        <v>6.9411899999999997</v>
      </c>
      <c r="I61">
        <v>6.4499680000000001</v>
      </c>
    </row>
    <row r="62" spans="1:9">
      <c r="A62">
        <v>1890</v>
      </c>
      <c r="B62">
        <v>7.5277940000000001</v>
      </c>
      <c r="C62">
        <v>7.8661399999999997</v>
      </c>
      <c r="D62">
        <v>1964</v>
      </c>
      <c r="E62">
        <v>9.2885050000000007</v>
      </c>
      <c r="F62">
        <v>9.3074130000000004</v>
      </c>
      <c r="G62">
        <v>1948</v>
      </c>
      <c r="H62">
        <v>6.96319</v>
      </c>
      <c r="I62">
        <v>6.4688739999999996</v>
      </c>
    </row>
    <row r="63" spans="1:9">
      <c r="A63">
        <v>1891</v>
      </c>
      <c r="B63">
        <v>7.6088709999999997</v>
      </c>
      <c r="C63">
        <v>7.8985339999999997</v>
      </c>
      <c r="D63">
        <v>1965</v>
      </c>
      <c r="E63">
        <v>9.3902429999999999</v>
      </c>
      <c r="F63">
        <v>9.3004680000000004</v>
      </c>
      <c r="G63">
        <v>1949</v>
      </c>
      <c r="H63">
        <v>6.96319</v>
      </c>
      <c r="I63">
        <v>6.5848690000000003</v>
      </c>
    </row>
    <row r="64" spans="1:9">
      <c r="A64">
        <v>1892</v>
      </c>
      <c r="B64">
        <v>7.6372340000000003</v>
      </c>
      <c r="C64">
        <v>7.8636540000000004</v>
      </c>
      <c r="D64">
        <v>1966</v>
      </c>
      <c r="E64">
        <v>9.5971659999999996</v>
      </c>
      <c r="F64">
        <v>9.230817</v>
      </c>
      <c r="G64">
        <v>1950</v>
      </c>
      <c r="H64">
        <v>6.9498559999999996</v>
      </c>
      <c r="I64">
        <v>6.6627039999999997</v>
      </c>
    </row>
    <row r="65" spans="1:9">
      <c r="A65">
        <v>1893</v>
      </c>
      <c r="B65">
        <v>7.6884560000000004</v>
      </c>
      <c r="C65">
        <v>8.0153049999999997</v>
      </c>
      <c r="D65">
        <v>1967</v>
      </c>
      <c r="E65">
        <v>9.7340619999999998</v>
      </c>
      <c r="F65">
        <v>9.1584400000000006</v>
      </c>
      <c r="G65">
        <v>1951</v>
      </c>
      <c r="H65">
        <v>6.9565450000000002</v>
      </c>
      <c r="I65">
        <v>6.6986090000000003</v>
      </c>
    </row>
    <row r="66" spans="1:9">
      <c r="A66">
        <v>1894</v>
      </c>
      <c r="B66">
        <v>7.6912000000000003</v>
      </c>
      <c r="C66">
        <v>8.1389510000000005</v>
      </c>
      <c r="D66">
        <v>1968</v>
      </c>
      <c r="E66">
        <v>9.8826219999999996</v>
      </c>
      <c r="F66">
        <v>9.0667360000000006</v>
      </c>
      <c r="G66">
        <v>1952</v>
      </c>
      <c r="H66">
        <v>6.9460139999999999</v>
      </c>
      <c r="I66">
        <v>6.852112</v>
      </c>
    </row>
    <row r="67" spans="1:9">
      <c r="A67">
        <v>1895</v>
      </c>
      <c r="B67">
        <v>7.7021050000000004</v>
      </c>
      <c r="C67">
        <v>8.0726580000000006</v>
      </c>
      <c r="D67">
        <v>1969</v>
      </c>
      <c r="E67">
        <v>10.08527</v>
      </c>
      <c r="F67">
        <v>8.9808839999999996</v>
      </c>
      <c r="G67">
        <v>1953</v>
      </c>
      <c r="H67">
        <v>6.9363429999999999</v>
      </c>
      <c r="I67">
        <v>6.8656610000000002</v>
      </c>
    </row>
    <row r="68" spans="1:9">
      <c r="A68">
        <v>1896</v>
      </c>
      <c r="B68">
        <v>7.743703</v>
      </c>
      <c r="C68">
        <v>8.1828889999999994</v>
      </c>
      <c r="D68">
        <v>1970</v>
      </c>
      <c r="E68">
        <v>10.20374</v>
      </c>
      <c r="F68">
        <v>8.9145780000000006</v>
      </c>
      <c r="G68">
        <v>1954</v>
      </c>
      <c r="H68">
        <v>6.9460139999999999</v>
      </c>
      <c r="I68">
        <v>6.8935279999999999</v>
      </c>
    </row>
    <row r="69" spans="1:9">
      <c r="A69">
        <v>1897</v>
      </c>
      <c r="B69">
        <v>7.7659929999999999</v>
      </c>
      <c r="C69">
        <v>8.1447889999999994</v>
      </c>
      <c r="D69">
        <v>1971</v>
      </c>
      <c r="E69">
        <v>10.32578</v>
      </c>
      <c r="F69">
        <v>8.9253520000000002</v>
      </c>
      <c r="G69">
        <v>1955</v>
      </c>
      <c r="H69">
        <v>6.9488969999999997</v>
      </c>
      <c r="I69">
        <v>6.8825760000000002</v>
      </c>
    </row>
    <row r="70" spans="1:9">
      <c r="A70">
        <v>1898</v>
      </c>
      <c r="B70">
        <v>7.7714889999999999</v>
      </c>
      <c r="C70">
        <v>8.1988489999999992</v>
      </c>
      <c r="D70">
        <v>1972</v>
      </c>
      <c r="E70">
        <v>10.461069999999999</v>
      </c>
      <c r="F70">
        <v>8.8925630000000009</v>
      </c>
      <c r="G70">
        <v>1956</v>
      </c>
      <c r="H70">
        <v>7.0859009999999998</v>
      </c>
      <c r="I70">
        <v>6.9253390000000001</v>
      </c>
    </row>
    <row r="71" spans="1:9">
      <c r="A71">
        <v>1899</v>
      </c>
      <c r="B71">
        <v>7.8144</v>
      </c>
      <c r="C71">
        <v>8.1644089999999991</v>
      </c>
      <c r="D71">
        <v>1973</v>
      </c>
      <c r="E71">
        <v>10.51285</v>
      </c>
      <c r="F71">
        <v>8.86435</v>
      </c>
      <c r="G71">
        <v>1957</v>
      </c>
      <c r="H71">
        <v>7.1404529999999999</v>
      </c>
      <c r="I71">
        <v>6.936496</v>
      </c>
    </row>
    <row r="72" spans="1:9">
      <c r="A72">
        <v>1900</v>
      </c>
      <c r="B72">
        <v>7.8853289999999996</v>
      </c>
      <c r="C72">
        <v>8.2082029999999992</v>
      </c>
      <c r="D72">
        <v>1974</v>
      </c>
      <c r="E72">
        <v>10.563800000000001</v>
      </c>
      <c r="F72">
        <v>8.9523910000000004</v>
      </c>
      <c r="G72">
        <v>1958</v>
      </c>
      <c r="H72">
        <v>7.1762550000000003</v>
      </c>
      <c r="I72">
        <v>6.9340539999999997</v>
      </c>
    </row>
    <row r="73" spans="1:9">
      <c r="A73">
        <v>1901</v>
      </c>
      <c r="B73">
        <v>7.9796810000000002</v>
      </c>
      <c r="C73">
        <v>8.1517009999999992</v>
      </c>
      <c r="D73">
        <v>1975</v>
      </c>
      <c r="E73">
        <v>10.590109999999999</v>
      </c>
      <c r="F73">
        <v>8.9824680000000008</v>
      </c>
      <c r="G73">
        <v>1959</v>
      </c>
      <c r="H73">
        <v>7.1577349999999997</v>
      </c>
      <c r="I73">
        <v>7.097505</v>
      </c>
    </row>
    <row r="74" spans="1:9">
      <c r="A74">
        <v>1902</v>
      </c>
      <c r="B74">
        <v>8.0636930000000007</v>
      </c>
      <c r="C74">
        <v>8.2237580000000001</v>
      </c>
      <c r="D74">
        <v>1976</v>
      </c>
      <c r="E74">
        <v>10.637370000000001</v>
      </c>
      <c r="F74">
        <v>8.9964410000000008</v>
      </c>
      <c r="G74">
        <v>1960</v>
      </c>
      <c r="H74">
        <v>7.1616220000000004</v>
      </c>
      <c r="I74">
        <v>7.0726820000000004</v>
      </c>
    </row>
    <row r="75" spans="1:9">
      <c r="A75">
        <v>1903</v>
      </c>
      <c r="B75">
        <v>8.1338810000000006</v>
      </c>
      <c r="C75">
        <v>8.2428290000000004</v>
      </c>
      <c r="D75">
        <v>1977</v>
      </c>
      <c r="E75">
        <v>10.597530000000001</v>
      </c>
      <c r="F75">
        <v>9.0025910000000007</v>
      </c>
      <c r="G75">
        <v>1961</v>
      </c>
      <c r="H75">
        <v>7.1538339999999998</v>
      </c>
      <c r="I75">
        <v>7.0553299999999997</v>
      </c>
    </row>
    <row r="76" spans="1:9">
      <c r="A76">
        <v>1904</v>
      </c>
      <c r="B76">
        <v>8.1873000000000005</v>
      </c>
      <c r="C76">
        <v>8.3421470000000006</v>
      </c>
      <c r="D76">
        <v>1978</v>
      </c>
      <c r="E76">
        <v>10.57597</v>
      </c>
      <c r="F76">
        <v>8.9961000000000002</v>
      </c>
      <c r="G76">
        <v>1962</v>
      </c>
      <c r="H76">
        <v>7.1228670000000003</v>
      </c>
      <c r="I76">
        <v>7.1496950000000004</v>
      </c>
    </row>
    <row r="77" spans="1:9">
      <c r="A77">
        <v>1905</v>
      </c>
      <c r="B77">
        <v>8.2271079999999994</v>
      </c>
      <c r="C77">
        <v>8.3329609999999992</v>
      </c>
      <c r="D77">
        <v>1979</v>
      </c>
      <c r="E77">
        <v>10.59646</v>
      </c>
      <c r="F77">
        <v>8.9853339999999999</v>
      </c>
      <c r="G77">
        <v>1963</v>
      </c>
      <c r="H77">
        <v>7.087574</v>
      </c>
      <c r="I77">
        <v>7.2540639999999996</v>
      </c>
    </row>
    <row r="78" spans="1:9">
      <c r="A78">
        <v>1906</v>
      </c>
      <c r="B78">
        <v>8.2877799999999997</v>
      </c>
      <c r="C78">
        <v>8.2719310000000004</v>
      </c>
      <c r="D78">
        <v>1980</v>
      </c>
      <c r="E78">
        <v>10.62035</v>
      </c>
      <c r="F78">
        <v>9.0068280000000005</v>
      </c>
      <c r="G78">
        <v>1964</v>
      </c>
      <c r="H78">
        <v>7.104965</v>
      </c>
      <c r="I78">
        <v>7.196326</v>
      </c>
    </row>
    <row r="79" spans="1:9">
      <c r="A79">
        <v>1907</v>
      </c>
      <c r="B79">
        <v>8.3614750000000004</v>
      </c>
      <c r="C79">
        <v>8.3322129999999994</v>
      </c>
      <c r="D79">
        <v>1981</v>
      </c>
      <c r="E79">
        <v>10.617319999999999</v>
      </c>
      <c r="F79">
        <v>9.0220000000000002</v>
      </c>
      <c r="G79">
        <v>1965</v>
      </c>
      <c r="H79">
        <v>7.143618</v>
      </c>
      <c r="I79">
        <v>7.1520659999999996</v>
      </c>
    </row>
    <row r="80" spans="1:9">
      <c r="A80">
        <v>1908</v>
      </c>
      <c r="B80">
        <v>8.4576560000000001</v>
      </c>
      <c r="C80">
        <v>8.5283940000000005</v>
      </c>
      <c r="D80">
        <v>1982</v>
      </c>
      <c r="E80">
        <v>10.63571</v>
      </c>
      <c r="F80">
        <v>9.0376860000000008</v>
      </c>
      <c r="G80">
        <v>1966</v>
      </c>
      <c r="H80">
        <v>7.1793079999999998</v>
      </c>
      <c r="I80">
        <v>7.2131639999999999</v>
      </c>
    </row>
    <row r="81" spans="1:9">
      <c r="A81">
        <v>1909</v>
      </c>
      <c r="B81">
        <v>8.4656900000000004</v>
      </c>
      <c r="C81">
        <v>8.4605080000000008</v>
      </c>
      <c r="D81">
        <v>1983</v>
      </c>
      <c r="E81">
        <v>10.615259999999999</v>
      </c>
      <c r="F81">
        <v>9.062716</v>
      </c>
      <c r="G81">
        <v>1967</v>
      </c>
      <c r="H81">
        <v>7.244942</v>
      </c>
      <c r="I81">
        <v>7.2470319999999999</v>
      </c>
    </row>
    <row r="82" spans="1:9">
      <c r="A82">
        <v>1910</v>
      </c>
      <c r="B82">
        <v>8.4969900000000003</v>
      </c>
      <c r="C82">
        <v>8.5337449999999997</v>
      </c>
      <c r="D82">
        <v>1984</v>
      </c>
      <c r="E82">
        <v>10.60557</v>
      </c>
      <c r="F82">
        <v>9.0661039999999993</v>
      </c>
      <c r="G82">
        <v>1968</v>
      </c>
      <c r="H82">
        <v>7.2813860000000004</v>
      </c>
      <c r="I82">
        <v>7.2606739999999999</v>
      </c>
    </row>
    <row r="83" spans="1:9">
      <c r="A83">
        <v>1911</v>
      </c>
      <c r="B83">
        <v>8.5318850000000008</v>
      </c>
      <c r="C83">
        <v>8.5657949999999996</v>
      </c>
      <c r="D83">
        <v>1985</v>
      </c>
      <c r="E83">
        <v>10.595129999999999</v>
      </c>
      <c r="F83">
        <v>9.0622240000000005</v>
      </c>
      <c r="G83">
        <v>1969</v>
      </c>
      <c r="H83">
        <v>7.2499260000000003</v>
      </c>
      <c r="I83">
        <v>7.2218609999999996</v>
      </c>
    </row>
    <row r="84" spans="1:9">
      <c r="A84">
        <v>1912</v>
      </c>
      <c r="B84">
        <v>8.5525610000000007</v>
      </c>
      <c r="C84">
        <v>8.5791850000000007</v>
      </c>
      <c r="D84">
        <v>1986</v>
      </c>
      <c r="E84">
        <v>10.5581</v>
      </c>
      <c r="F84">
        <v>9.077674</v>
      </c>
      <c r="G84">
        <v>1970</v>
      </c>
      <c r="H84">
        <v>7.2772480000000002</v>
      </c>
      <c r="I84">
        <v>7.2241059999999999</v>
      </c>
    </row>
    <row r="85" spans="1:9">
      <c r="A85">
        <v>1913</v>
      </c>
      <c r="B85">
        <v>8.5816689999999998</v>
      </c>
      <c r="C85">
        <v>8.6114770000000007</v>
      </c>
      <c r="D85">
        <v>1987</v>
      </c>
      <c r="E85">
        <v>10.489380000000001</v>
      </c>
      <c r="F85">
        <v>9.0741669999999992</v>
      </c>
      <c r="G85">
        <v>1971</v>
      </c>
      <c r="H85">
        <v>7.293018</v>
      </c>
      <c r="I85">
        <v>7.2358169999999999</v>
      </c>
    </row>
    <row r="86" spans="1:9">
      <c r="A86">
        <v>1914</v>
      </c>
      <c r="B86">
        <v>8.5993259999999996</v>
      </c>
      <c r="C86">
        <v>8.7995439999999991</v>
      </c>
      <c r="D86">
        <v>1988</v>
      </c>
      <c r="E86">
        <v>10.3758</v>
      </c>
      <c r="F86">
        <v>9.0434549999999998</v>
      </c>
      <c r="G86">
        <v>1972</v>
      </c>
      <c r="H86">
        <v>7.4247620000000003</v>
      </c>
      <c r="I86">
        <v>7.2701330000000004</v>
      </c>
    </row>
    <row r="87" spans="1:9">
      <c r="A87">
        <v>1915</v>
      </c>
      <c r="B87">
        <v>8.6901379999999993</v>
      </c>
      <c r="C87">
        <v>8.8336469999999991</v>
      </c>
      <c r="D87">
        <v>1989</v>
      </c>
      <c r="E87">
        <v>10.24103</v>
      </c>
      <c r="F87">
        <v>9.0291139999999999</v>
      </c>
      <c r="G87">
        <v>1973</v>
      </c>
      <c r="H87">
        <v>7.6014020000000002</v>
      </c>
      <c r="I87">
        <v>7.2674469999999998</v>
      </c>
    </row>
    <row r="88" spans="1:9">
      <c r="A88">
        <v>1916</v>
      </c>
      <c r="B88">
        <v>8.7111140000000002</v>
      </c>
      <c r="C88">
        <v>8.7329019999999993</v>
      </c>
      <c r="D88">
        <v>1990</v>
      </c>
      <c r="E88">
        <v>10.206480000000001</v>
      </c>
      <c r="F88">
        <v>9.0102220000000006</v>
      </c>
      <c r="G88">
        <v>1974</v>
      </c>
      <c r="H88">
        <v>7.759614</v>
      </c>
      <c r="I88">
        <v>7.2597969999999998</v>
      </c>
    </row>
    <row r="89" spans="1:9">
      <c r="A89">
        <v>1917</v>
      </c>
      <c r="B89">
        <v>8.7691970000000001</v>
      </c>
      <c r="C89">
        <v>8.8363250000000004</v>
      </c>
      <c r="D89">
        <v>1991</v>
      </c>
      <c r="E89">
        <v>10.18135</v>
      </c>
      <c r="F89">
        <v>9.0127260000000007</v>
      </c>
      <c r="G89">
        <v>1975</v>
      </c>
      <c r="H89">
        <v>7.8422790000000004</v>
      </c>
      <c r="I89">
        <v>7.3459570000000003</v>
      </c>
    </row>
    <row r="90" spans="1:9">
      <c r="A90">
        <v>1918</v>
      </c>
      <c r="B90">
        <v>8.9187840000000005</v>
      </c>
      <c r="C90">
        <v>8.7849079999999997</v>
      </c>
      <c r="D90">
        <v>1992</v>
      </c>
      <c r="E90">
        <v>10.142620000000001</v>
      </c>
      <c r="F90">
        <v>9.0453329999999994</v>
      </c>
      <c r="G90">
        <v>1976</v>
      </c>
      <c r="H90">
        <v>7.743703</v>
      </c>
      <c r="I90">
        <v>7.4241710000000003</v>
      </c>
    </row>
    <row r="91" spans="1:9">
      <c r="A91">
        <v>1919</v>
      </c>
      <c r="B91">
        <v>9.251099</v>
      </c>
      <c r="C91">
        <v>8.8219370000000001</v>
      </c>
      <c r="G91">
        <v>1977</v>
      </c>
      <c r="H91">
        <v>7.721349</v>
      </c>
      <c r="I91">
        <v>7.4213110000000002</v>
      </c>
    </row>
    <row r="92" spans="1:9">
      <c r="A92">
        <v>1920</v>
      </c>
      <c r="B92">
        <v>9.5340889999999998</v>
      </c>
      <c r="C92">
        <v>8.9023129999999995</v>
      </c>
      <c r="G92">
        <v>1978</v>
      </c>
      <c r="H92">
        <v>7.8119740000000002</v>
      </c>
      <c r="I92">
        <v>7.5547389999999996</v>
      </c>
    </row>
    <row r="93" spans="1:9">
      <c r="A93">
        <v>1921</v>
      </c>
      <c r="B93">
        <v>9.6642779999999995</v>
      </c>
      <c r="C93">
        <v>9.0142690000000005</v>
      </c>
      <c r="G93">
        <v>1979</v>
      </c>
      <c r="H93">
        <v>7.7923489999999997</v>
      </c>
      <c r="I93">
        <v>7.5374639999999999</v>
      </c>
    </row>
    <row r="94" spans="1:9">
      <c r="A94">
        <v>1922</v>
      </c>
      <c r="B94">
        <v>9.6792180000000005</v>
      </c>
      <c r="C94">
        <v>9.0121970000000005</v>
      </c>
      <c r="G94">
        <v>1980</v>
      </c>
      <c r="H94">
        <v>7.8066959999999996</v>
      </c>
      <c r="I94">
        <v>7.5925219999999998</v>
      </c>
    </row>
    <row r="95" spans="1:9">
      <c r="A95">
        <v>1923</v>
      </c>
      <c r="B95">
        <v>9.6690930000000002</v>
      </c>
      <c r="C95">
        <v>8.9250910000000001</v>
      </c>
      <c r="G95">
        <v>1981</v>
      </c>
      <c r="H95">
        <v>7.6577549999999999</v>
      </c>
      <c r="I95">
        <v>7.745533</v>
      </c>
    </row>
    <row r="96" spans="1:9">
      <c r="A96">
        <v>1924</v>
      </c>
      <c r="B96">
        <v>9.6365879999999997</v>
      </c>
      <c r="C96">
        <v>8.9663219999999999</v>
      </c>
      <c r="G96">
        <v>1982</v>
      </c>
      <c r="H96">
        <v>7.550135</v>
      </c>
      <c r="I96">
        <v>7.8608859999999998</v>
      </c>
    </row>
    <row r="97" spans="1:9">
      <c r="A97">
        <v>1925</v>
      </c>
      <c r="B97">
        <v>9.6142040000000009</v>
      </c>
      <c r="C97">
        <v>9.0073240000000006</v>
      </c>
      <c r="G97">
        <v>1983</v>
      </c>
      <c r="H97">
        <v>7.5374299999999996</v>
      </c>
      <c r="I97">
        <v>7.8861319999999999</v>
      </c>
    </row>
    <row r="98" spans="1:9">
      <c r="A98">
        <v>1926</v>
      </c>
      <c r="B98">
        <v>9.60562</v>
      </c>
      <c r="C98">
        <v>8.9916730000000005</v>
      </c>
      <c r="G98">
        <v>1984</v>
      </c>
      <c r="H98">
        <v>7.5137090000000004</v>
      </c>
      <c r="I98">
        <v>7.9279159999999997</v>
      </c>
    </row>
    <row r="99" spans="1:9">
      <c r="A99">
        <v>1927</v>
      </c>
      <c r="B99">
        <v>9.5823870000000007</v>
      </c>
      <c r="C99">
        <v>9.0471240000000002</v>
      </c>
      <c r="G99">
        <v>1985</v>
      </c>
      <c r="H99">
        <v>7.5443319999999998</v>
      </c>
      <c r="I99">
        <v>8.0864759999999993</v>
      </c>
    </row>
    <row r="100" spans="1:9">
      <c r="A100">
        <v>1928</v>
      </c>
      <c r="B100">
        <v>9.5710870000000003</v>
      </c>
      <c r="C100">
        <v>9.0970870000000001</v>
      </c>
      <c r="G100">
        <v>1986</v>
      </c>
      <c r="H100">
        <v>7.4436640000000001</v>
      </c>
      <c r="I100">
        <v>8.0633189999999999</v>
      </c>
    </row>
    <row r="101" spans="1:9">
      <c r="A101">
        <v>1929</v>
      </c>
      <c r="B101">
        <v>9.5583170000000006</v>
      </c>
      <c r="C101">
        <v>9.0792310000000001</v>
      </c>
    </row>
    <row r="102" spans="1:9">
      <c r="A102">
        <v>1930</v>
      </c>
      <c r="B102">
        <v>9.5293030000000005</v>
      </c>
      <c r="C102">
        <v>9.2651690000000002</v>
      </c>
    </row>
    <row r="103" spans="1:9">
      <c r="A103">
        <v>1931</v>
      </c>
      <c r="B103">
        <v>9.5125170000000008</v>
      </c>
      <c r="C103">
        <v>9.4246700000000008</v>
      </c>
    </row>
    <row r="104" spans="1:9">
      <c r="A104">
        <v>1932</v>
      </c>
      <c r="B104">
        <v>9.5154700000000005</v>
      </c>
      <c r="C104">
        <v>9.6624009999999991</v>
      </c>
    </row>
    <row r="105" spans="1:9">
      <c r="A105">
        <v>1933</v>
      </c>
      <c r="B105">
        <v>9.4620320000000007</v>
      </c>
      <c r="C105">
        <v>9.7400529999999996</v>
      </c>
    </row>
    <row r="106" spans="1:9">
      <c r="A106">
        <v>1934</v>
      </c>
      <c r="B106">
        <v>9.4483329999999999</v>
      </c>
      <c r="C106">
        <v>9.6923180000000002</v>
      </c>
    </row>
    <row r="107" spans="1:9">
      <c r="A107">
        <v>1935</v>
      </c>
      <c r="B107">
        <v>9.43628</v>
      </c>
      <c r="C107">
        <v>9.6468530000000001</v>
      </c>
    </row>
    <row r="108" spans="1:9">
      <c r="A108">
        <v>1936</v>
      </c>
      <c r="B108">
        <v>9.4146680000000007</v>
      </c>
      <c r="C108">
        <v>9.5220579999999995</v>
      </c>
    </row>
    <row r="109" spans="1:9">
      <c r="A109">
        <v>1937</v>
      </c>
      <c r="B109">
        <v>9.4067290000000003</v>
      </c>
      <c r="C109">
        <v>9.5164799999999996</v>
      </c>
    </row>
    <row r="110" spans="1:9">
      <c r="A110">
        <v>1938</v>
      </c>
      <c r="B110">
        <v>9.3932450000000003</v>
      </c>
      <c r="C110">
        <v>9.6236599999999992</v>
      </c>
    </row>
    <row r="111" spans="1:9">
      <c r="A111">
        <v>1939</v>
      </c>
      <c r="B111">
        <v>9.3886540000000007</v>
      </c>
      <c r="C111">
        <v>9.5768799999999992</v>
      </c>
    </row>
    <row r="112" spans="1:9">
      <c r="A112">
        <v>1940</v>
      </c>
      <c r="B112">
        <v>9.337237</v>
      </c>
      <c r="C112">
        <v>9.5332749999999997</v>
      </c>
    </row>
    <row r="113" spans="1:3">
      <c r="A113">
        <v>1941</v>
      </c>
      <c r="B113">
        <v>9.3099150000000002</v>
      </c>
      <c r="C113">
        <v>9.3703730000000007</v>
      </c>
    </row>
    <row r="114" spans="1:3">
      <c r="A114">
        <v>1942</v>
      </c>
      <c r="B114">
        <v>9.3121749999999999</v>
      </c>
      <c r="C114">
        <v>9.1901790000000005</v>
      </c>
    </row>
    <row r="115" spans="1:3">
      <c r="A115">
        <v>1943</v>
      </c>
      <c r="B115">
        <v>9.5505200000000006</v>
      </c>
      <c r="C115">
        <v>9.0181020000000007</v>
      </c>
    </row>
    <row r="116" spans="1:3">
      <c r="A116">
        <v>1944</v>
      </c>
      <c r="B116">
        <v>10.05264</v>
      </c>
      <c r="C116">
        <v>8.9750680000000003</v>
      </c>
    </row>
    <row r="117" spans="1:3">
      <c r="A117">
        <v>1945</v>
      </c>
      <c r="B117">
        <v>10.31715</v>
      </c>
      <c r="C117">
        <v>9.0897679999999994</v>
      </c>
    </row>
    <row r="118" spans="1:3">
      <c r="A118">
        <v>1946</v>
      </c>
      <c r="B118">
        <v>10.489269999999999</v>
      </c>
      <c r="C118">
        <v>9.4538759999999993</v>
      </c>
    </row>
    <row r="119" spans="1:3">
      <c r="A119">
        <v>1947</v>
      </c>
      <c r="B119">
        <v>10.46735</v>
      </c>
      <c r="C119">
        <v>9.5533540000000006</v>
      </c>
    </row>
    <row r="120" spans="1:3">
      <c r="A120">
        <v>1948</v>
      </c>
      <c r="B120">
        <v>10.32446</v>
      </c>
      <c r="C120">
        <v>9.5792470000000005</v>
      </c>
    </row>
    <row r="121" spans="1:3">
      <c r="A121">
        <v>1949</v>
      </c>
      <c r="B121">
        <v>10.28613</v>
      </c>
      <c r="C121">
        <v>9.6490969999999994</v>
      </c>
    </row>
    <row r="122" spans="1:3">
      <c r="A122">
        <v>1950</v>
      </c>
      <c r="B122">
        <v>10.251569999999999</v>
      </c>
      <c r="C122">
        <v>9.6123390000000004</v>
      </c>
    </row>
    <row r="123" spans="1:3">
      <c r="A123">
        <v>1951</v>
      </c>
      <c r="B123">
        <v>10.21917</v>
      </c>
      <c r="C123">
        <v>9.5896100000000004</v>
      </c>
    </row>
    <row r="124" spans="1:3">
      <c r="A124">
        <v>1952</v>
      </c>
      <c r="B124">
        <v>10.22045</v>
      </c>
      <c r="C124">
        <v>9.6156740000000003</v>
      </c>
    </row>
    <row r="125" spans="1:3">
      <c r="A125">
        <v>1953</v>
      </c>
      <c r="B125">
        <v>10.222200000000001</v>
      </c>
      <c r="C125">
        <v>9.6294009999999997</v>
      </c>
    </row>
    <row r="126" spans="1:3">
      <c r="A126">
        <v>1954</v>
      </c>
      <c r="B126">
        <v>10.22669</v>
      </c>
      <c r="C126">
        <v>9.7134689999999999</v>
      </c>
    </row>
    <row r="127" spans="1:3">
      <c r="A127">
        <v>1955</v>
      </c>
      <c r="B127">
        <v>10.19586</v>
      </c>
      <c r="C127">
        <v>9.6988679999999992</v>
      </c>
    </row>
    <row r="128" spans="1:3">
      <c r="A128">
        <v>1956</v>
      </c>
      <c r="B128">
        <v>10.175459999999999</v>
      </c>
      <c r="C128">
        <v>9.7489819999999998</v>
      </c>
    </row>
    <row r="129" spans="1:3">
      <c r="A129">
        <v>1957</v>
      </c>
      <c r="B129">
        <v>10.157550000000001</v>
      </c>
      <c r="C129">
        <v>9.8007869999999997</v>
      </c>
    </row>
    <row r="130" spans="1:3">
      <c r="A130">
        <v>1958</v>
      </c>
      <c r="B130">
        <v>10.11046</v>
      </c>
      <c r="C130">
        <v>9.8873149999999992</v>
      </c>
    </row>
    <row r="131" spans="1:3">
      <c r="A131">
        <v>1959</v>
      </c>
      <c r="B131">
        <v>10.099589999999999</v>
      </c>
      <c r="C131">
        <v>9.8659330000000001</v>
      </c>
    </row>
    <row r="132" spans="1:3">
      <c r="A132">
        <v>1960</v>
      </c>
      <c r="B132">
        <v>10.06701</v>
      </c>
      <c r="C132">
        <v>9.9045480000000001</v>
      </c>
    </row>
    <row r="133" spans="1:3">
      <c r="A133">
        <v>1961</v>
      </c>
      <c r="B133">
        <v>9.9605759999999997</v>
      </c>
      <c r="C133">
        <v>9.9468350000000001</v>
      </c>
    </row>
    <row r="134" spans="1:3">
      <c r="A134">
        <v>1962</v>
      </c>
      <c r="B134">
        <v>9.9072800000000001</v>
      </c>
      <c r="C134">
        <v>9.9393879999999992</v>
      </c>
    </row>
    <row r="135" spans="1:3">
      <c r="A135">
        <v>1963</v>
      </c>
      <c r="B135">
        <v>9.9074299999999997</v>
      </c>
      <c r="C135">
        <v>9.9510240000000003</v>
      </c>
    </row>
    <row r="136" spans="1:3">
      <c r="A136">
        <v>1964</v>
      </c>
      <c r="B136">
        <v>9.9043869999999998</v>
      </c>
      <c r="C136">
        <v>9.9430359999999993</v>
      </c>
    </row>
    <row r="137" spans="1:3">
      <c r="A137">
        <v>1965</v>
      </c>
      <c r="B137">
        <v>9.8898949999999992</v>
      </c>
      <c r="C137">
        <v>9.9244420000000009</v>
      </c>
    </row>
    <row r="138" spans="1:3">
      <c r="A138">
        <v>1966</v>
      </c>
      <c r="B138" t="e">
        <f>NA()</f>
        <v>#N/A</v>
      </c>
      <c r="C138" t="e">
        <f>NA()</f>
        <v>#N/A</v>
      </c>
    </row>
    <row r="139" spans="1:3">
      <c r="A139">
        <v>1967</v>
      </c>
      <c r="B139" t="e">
        <f>NA()</f>
        <v>#N/A</v>
      </c>
      <c r="C139" t="e">
        <f>NA()</f>
        <v>#N/A</v>
      </c>
    </row>
    <row r="140" spans="1:3">
      <c r="A140">
        <v>1968</v>
      </c>
      <c r="B140">
        <v>9.8728219999999993</v>
      </c>
      <c r="C140">
        <v>9.923781</v>
      </c>
    </row>
    <row r="141" spans="1:3">
      <c r="A141">
        <v>1969</v>
      </c>
      <c r="B141">
        <v>9.8747279999999993</v>
      </c>
      <c r="C141">
        <v>9.9395969999999991</v>
      </c>
    </row>
    <row r="142" spans="1:3">
      <c r="A142">
        <v>1970</v>
      </c>
      <c r="B142">
        <v>9.8235240000000008</v>
      </c>
      <c r="C142">
        <v>9.9981179999999998</v>
      </c>
    </row>
    <row r="143" spans="1:3">
      <c r="A143">
        <v>1971</v>
      </c>
      <c r="B143">
        <v>9.6968329999999998</v>
      </c>
      <c r="C143">
        <v>10.02064</v>
      </c>
    </row>
    <row r="144" spans="1:3">
      <c r="A144">
        <v>1972</v>
      </c>
      <c r="B144">
        <v>9.6174040000000005</v>
      </c>
      <c r="C144">
        <v>10.011039999999999</v>
      </c>
    </row>
    <row r="145" spans="1:3">
      <c r="A145">
        <v>1973</v>
      </c>
      <c r="B145">
        <v>9.6099209999999999</v>
      </c>
      <c r="C145">
        <v>9.9939599999999995</v>
      </c>
    </row>
    <row r="146" spans="1:3">
      <c r="A146">
        <v>1974</v>
      </c>
      <c r="B146">
        <v>9.5769950000000001</v>
      </c>
      <c r="C146">
        <v>10.052490000000001</v>
      </c>
    </row>
    <row r="147" spans="1:3">
      <c r="A147">
        <v>1975</v>
      </c>
      <c r="B147">
        <v>9.5878859999999992</v>
      </c>
      <c r="C147">
        <v>10.11266</v>
      </c>
    </row>
    <row r="148" spans="1:3">
      <c r="A148">
        <v>1976</v>
      </c>
      <c r="B148">
        <v>9.6096529999999998</v>
      </c>
      <c r="C148">
        <v>10.10084</v>
      </c>
    </row>
    <row r="149" spans="1:3">
      <c r="A149">
        <v>1977</v>
      </c>
      <c r="B149">
        <v>9.6356079999999995</v>
      </c>
      <c r="C149">
        <v>10.099220000000001</v>
      </c>
    </row>
    <row r="150" spans="1:3">
      <c r="A150">
        <v>1978</v>
      </c>
      <c r="B150">
        <v>9.6920249999999992</v>
      </c>
      <c r="C150">
        <v>10.084059999999999</v>
      </c>
    </row>
    <row r="151" spans="1:3">
      <c r="A151">
        <v>1979</v>
      </c>
      <c r="B151">
        <v>9.7723530000000007</v>
      </c>
      <c r="C151">
        <v>10.09896</v>
      </c>
    </row>
    <row r="152" spans="1:3">
      <c r="A152">
        <v>1980</v>
      </c>
      <c r="B152">
        <v>9.8235779999999995</v>
      </c>
      <c r="C152">
        <v>10.159129999999999</v>
      </c>
    </row>
    <row r="153" spans="1:3">
      <c r="A153">
        <v>1981</v>
      </c>
      <c r="B153">
        <v>9.8473410000000001</v>
      </c>
      <c r="C153">
        <v>10.18267</v>
      </c>
    </row>
    <row r="154" spans="1:3">
      <c r="A154">
        <v>1982</v>
      </c>
      <c r="B154">
        <v>9.8580199999999998</v>
      </c>
      <c r="C154">
        <v>10.263260000000001</v>
      </c>
    </row>
    <row r="155" spans="1:3">
      <c r="A155">
        <v>1983</v>
      </c>
      <c r="B155">
        <v>9.8708609999999997</v>
      </c>
      <c r="C155">
        <v>10.26347</v>
      </c>
    </row>
    <row r="156" spans="1:3">
      <c r="A156">
        <v>1984</v>
      </c>
      <c r="B156">
        <v>9.8674459999999993</v>
      </c>
      <c r="C156">
        <v>10.224080000000001</v>
      </c>
    </row>
    <row r="157" spans="1:3">
      <c r="A157">
        <v>1985</v>
      </c>
      <c r="B157">
        <v>9.879092</v>
      </c>
      <c r="C157">
        <v>10.227779999999999</v>
      </c>
    </row>
    <row r="158" spans="1:3">
      <c r="A158">
        <v>1986</v>
      </c>
      <c r="B158">
        <v>9.8984749999999995</v>
      </c>
      <c r="C158">
        <v>10.237439999999999</v>
      </c>
    </row>
    <row r="159" spans="1:3">
      <c r="A159">
        <v>1987</v>
      </c>
      <c r="B159">
        <v>9.9123479999999997</v>
      </c>
      <c r="C159">
        <v>10.245660000000001</v>
      </c>
    </row>
    <row r="160" spans="1:3">
      <c r="A160">
        <v>1988</v>
      </c>
      <c r="B160">
        <v>9.9442450000000004</v>
      </c>
      <c r="C160">
        <v>10.24544</v>
      </c>
    </row>
    <row r="161" spans="1:3">
      <c r="A161">
        <v>1989</v>
      </c>
      <c r="B161">
        <v>9.9324639999999995</v>
      </c>
      <c r="C161">
        <v>10.2555</v>
      </c>
    </row>
    <row r="162" spans="1:3">
      <c r="A162">
        <v>1990</v>
      </c>
      <c r="B162">
        <v>9.9677760000000006</v>
      </c>
      <c r="C162">
        <v>10.291700000000001</v>
      </c>
    </row>
    <row r="163" spans="1:3">
      <c r="A163">
        <v>1991</v>
      </c>
      <c r="B163">
        <v>9.9179329999999997</v>
      </c>
      <c r="C163">
        <v>10.358230000000001</v>
      </c>
    </row>
  </sheetData>
  <phoneticPr fontId="1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5" enableFormatConditionsCalculation="0">
    <tabColor indexed="8"/>
  </sheetPr>
  <dimension ref="A1:AS165"/>
  <sheetViews>
    <sheetView workbookViewId="0">
      <selection activeCell="J13" sqref="J13"/>
    </sheetView>
  </sheetViews>
  <sheetFormatPr defaultRowHeight="12.75"/>
  <cols>
    <col min="2" max="2" width="12.140625" customWidth="1"/>
    <col min="4" max="4" width="10.28515625" customWidth="1"/>
    <col min="41" max="41" width="10" customWidth="1"/>
  </cols>
  <sheetData>
    <row r="1" spans="1:45">
      <c r="A1">
        <v>1</v>
      </c>
      <c r="B1">
        <f>A1</f>
        <v>1</v>
      </c>
      <c r="C1">
        <f>B1</f>
        <v>1</v>
      </c>
      <c r="D1">
        <f>A1+1</f>
        <v>2</v>
      </c>
      <c r="E1">
        <f t="shared" ref="E1:AS1" si="0">B1+1</f>
        <v>2</v>
      </c>
      <c r="F1">
        <f t="shared" si="0"/>
        <v>2</v>
      </c>
      <c r="G1">
        <f t="shared" si="0"/>
        <v>3</v>
      </c>
      <c r="H1">
        <f t="shared" si="0"/>
        <v>3</v>
      </c>
      <c r="I1">
        <f t="shared" si="0"/>
        <v>3</v>
      </c>
      <c r="J1">
        <f t="shared" si="0"/>
        <v>4</v>
      </c>
      <c r="K1">
        <f t="shared" si="0"/>
        <v>4</v>
      </c>
      <c r="L1">
        <f t="shared" si="0"/>
        <v>4</v>
      </c>
      <c r="M1">
        <f t="shared" si="0"/>
        <v>5</v>
      </c>
      <c r="N1">
        <f t="shared" si="0"/>
        <v>5</v>
      </c>
      <c r="O1">
        <f t="shared" si="0"/>
        <v>5</v>
      </c>
      <c r="P1">
        <f t="shared" si="0"/>
        <v>6</v>
      </c>
      <c r="Q1">
        <f t="shared" si="0"/>
        <v>6</v>
      </c>
      <c r="R1">
        <f t="shared" si="0"/>
        <v>6</v>
      </c>
      <c r="S1">
        <f t="shared" si="0"/>
        <v>7</v>
      </c>
      <c r="T1">
        <f t="shared" si="0"/>
        <v>7</v>
      </c>
      <c r="U1">
        <f t="shared" si="0"/>
        <v>7</v>
      </c>
      <c r="V1">
        <f t="shared" si="0"/>
        <v>8</v>
      </c>
      <c r="W1">
        <f t="shared" si="0"/>
        <v>8</v>
      </c>
      <c r="X1">
        <f t="shared" si="0"/>
        <v>8</v>
      </c>
      <c r="Y1">
        <f t="shared" si="0"/>
        <v>9</v>
      </c>
      <c r="Z1">
        <f t="shared" si="0"/>
        <v>9</v>
      </c>
      <c r="AA1">
        <f t="shared" si="0"/>
        <v>9</v>
      </c>
      <c r="AB1">
        <f t="shared" si="0"/>
        <v>10</v>
      </c>
      <c r="AC1">
        <f t="shared" si="0"/>
        <v>10</v>
      </c>
      <c r="AD1">
        <f t="shared" si="0"/>
        <v>10</v>
      </c>
      <c r="AE1">
        <f t="shared" si="0"/>
        <v>11</v>
      </c>
      <c r="AF1">
        <f t="shared" si="0"/>
        <v>11</v>
      </c>
      <c r="AG1">
        <f t="shared" si="0"/>
        <v>11</v>
      </c>
      <c r="AH1">
        <f t="shared" si="0"/>
        <v>12</v>
      </c>
      <c r="AI1">
        <f t="shared" si="0"/>
        <v>12</v>
      </c>
      <c r="AJ1">
        <f t="shared" si="0"/>
        <v>12</v>
      </c>
      <c r="AK1">
        <f t="shared" si="0"/>
        <v>13</v>
      </c>
      <c r="AL1">
        <f t="shared" si="0"/>
        <v>13</v>
      </c>
      <c r="AM1">
        <f t="shared" si="0"/>
        <v>13</v>
      </c>
      <c r="AN1">
        <f t="shared" si="0"/>
        <v>14</v>
      </c>
      <c r="AO1">
        <f t="shared" si="0"/>
        <v>14</v>
      </c>
      <c r="AP1">
        <f t="shared" si="0"/>
        <v>14</v>
      </c>
      <c r="AQ1">
        <f t="shared" si="0"/>
        <v>15</v>
      </c>
      <c r="AR1">
        <f t="shared" si="0"/>
        <v>15</v>
      </c>
      <c r="AS1">
        <f t="shared" si="0"/>
        <v>15</v>
      </c>
    </row>
    <row r="2" spans="1:45">
      <c r="A2" t="str">
        <f t="shared" ref="A2:AS2" si="1">INDEX(Technology_names,A1,1)</f>
        <v>Aviation - Freight</v>
      </c>
      <c r="B2" t="str">
        <f t="shared" si="1"/>
        <v>Aviation - Freight</v>
      </c>
      <c r="C2" t="str">
        <f t="shared" si="1"/>
        <v>Aviation - Freight</v>
      </c>
      <c r="D2" t="str">
        <f t="shared" si="1"/>
        <v>Aviation - Passengers</v>
      </c>
      <c r="E2" t="str">
        <f t="shared" si="1"/>
        <v>Aviation - Passengers</v>
      </c>
      <c r="F2" t="str">
        <f t="shared" si="1"/>
        <v>Aviation - Passengers</v>
      </c>
      <c r="G2" t="str">
        <f t="shared" si="1"/>
        <v>Cars</v>
      </c>
      <c r="H2" t="str">
        <f t="shared" si="1"/>
        <v>Cars</v>
      </c>
      <c r="I2" t="str">
        <f t="shared" si="1"/>
        <v>Cars</v>
      </c>
      <c r="J2" t="str">
        <f t="shared" si="1"/>
        <v>Cellphones</v>
      </c>
      <c r="K2" t="str">
        <f t="shared" si="1"/>
        <v>Cellphones</v>
      </c>
      <c r="L2" t="str">
        <f t="shared" si="1"/>
        <v>Cellphones</v>
      </c>
      <c r="M2" t="str">
        <f t="shared" si="1"/>
        <v>Electricity</v>
      </c>
      <c r="N2" t="str">
        <f t="shared" si="1"/>
        <v>Electricity</v>
      </c>
      <c r="O2" t="str">
        <f t="shared" si="1"/>
        <v>Electricity</v>
      </c>
      <c r="P2" t="str">
        <f t="shared" si="1"/>
        <v>Internet users</v>
      </c>
      <c r="Q2" t="str">
        <f t="shared" si="1"/>
        <v>Internet users</v>
      </c>
      <c r="R2" t="str">
        <f t="shared" si="1"/>
        <v>Internet users</v>
      </c>
      <c r="S2" t="str">
        <f t="shared" si="1"/>
        <v>MRIs</v>
      </c>
      <c r="T2" t="str">
        <f t="shared" si="1"/>
        <v>MRIs</v>
      </c>
      <c r="U2" t="str">
        <f t="shared" si="1"/>
        <v>MRIs</v>
      </c>
      <c r="V2" t="str">
        <f t="shared" si="1"/>
        <v>PCs</v>
      </c>
      <c r="W2" t="str">
        <f t="shared" si="1"/>
        <v>PCs</v>
      </c>
      <c r="X2" t="str">
        <f t="shared" si="1"/>
        <v>PCs</v>
      </c>
      <c r="Y2" t="str">
        <f t="shared" si="1"/>
        <v>Steam- and motorships</v>
      </c>
      <c r="Z2" t="str">
        <f t="shared" si="1"/>
        <v>Steam- and motorships</v>
      </c>
      <c r="AA2" t="str">
        <f t="shared" si="1"/>
        <v>Steam- and motorships</v>
      </c>
      <c r="AB2" t="str">
        <f t="shared" si="1"/>
        <v>Telegraph</v>
      </c>
      <c r="AC2" t="str">
        <f t="shared" si="1"/>
        <v>Telegraph</v>
      </c>
      <c r="AD2" t="str">
        <f t="shared" si="1"/>
        <v>Telegraph</v>
      </c>
      <c r="AE2" t="str">
        <f t="shared" si="1"/>
        <v>Telephone</v>
      </c>
      <c r="AF2" t="str">
        <f t="shared" si="1"/>
        <v>Telephone</v>
      </c>
      <c r="AG2" t="str">
        <f t="shared" si="1"/>
        <v>Telephone</v>
      </c>
      <c r="AH2" t="str">
        <f t="shared" si="1"/>
        <v>Trucks</v>
      </c>
      <c r="AI2" t="str">
        <f t="shared" si="1"/>
        <v>Trucks</v>
      </c>
      <c r="AJ2" t="str">
        <f t="shared" si="1"/>
        <v>Trucks</v>
      </c>
      <c r="AK2" t="str">
        <f t="shared" si="1"/>
        <v>Blast Oxygen Steel</v>
      </c>
      <c r="AL2" t="str">
        <f t="shared" si="1"/>
        <v>Blast Oxygen Steel</v>
      </c>
      <c r="AM2" t="str">
        <f t="shared" si="1"/>
        <v>Blast Oxygen Steel</v>
      </c>
      <c r="AN2" t="str">
        <f t="shared" si="1"/>
        <v>Railways - Freight</v>
      </c>
      <c r="AO2" t="str">
        <f t="shared" si="1"/>
        <v>Railways - Freight</v>
      </c>
      <c r="AP2" t="str">
        <f t="shared" si="1"/>
        <v>Railways - Freight</v>
      </c>
      <c r="AQ2" t="str">
        <f t="shared" si="1"/>
        <v>Railways - Passengers</v>
      </c>
      <c r="AR2" t="str">
        <f t="shared" si="1"/>
        <v>Railways - Passengers</v>
      </c>
      <c r="AS2" t="str">
        <f t="shared" si="1"/>
        <v>Railways - Passengers</v>
      </c>
    </row>
    <row r="3" spans="1:45">
      <c r="A3" t="s">
        <v>543</v>
      </c>
      <c r="B3" t="s">
        <v>1</v>
      </c>
      <c r="C3" t="s">
        <v>2</v>
      </c>
      <c r="D3" t="str">
        <f>A3</f>
        <v>year</v>
      </c>
      <c r="E3" t="str">
        <f t="shared" ref="E3:AS3" si="2">B3</f>
        <v>actual</v>
      </c>
      <c r="F3" t="str">
        <f t="shared" si="2"/>
        <v>fitted</v>
      </c>
      <c r="G3" t="str">
        <f t="shared" si="2"/>
        <v>year</v>
      </c>
      <c r="H3" t="str">
        <f t="shared" si="2"/>
        <v>actual</v>
      </c>
      <c r="I3" t="str">
        <f t="shared" si="2"/>
        <v>fitted</v>
      </c>
      <c r="J3" t="str">
        <f t="shared" si="2"/>
        <v>year</v>
      </c>
      <c r="K3" t="str">
        <f t="shared" si="2"/>
        <v>actual</v>
      </c>
      <c r="L3" t="str">
        <f t="shared" si="2"/>
        <v>fitted</v>
      </c>
      <c r="M3" t="str">
        <f t="shared" si="2"/>
        <v>year</v>
      </c>
      <c r="N3" t="str">
        <f t="shared" si="2"/>
        <v>actual</v>
      </c>
      <c r="O3" t="str">
        <f t="shared" si="2"/>
        <v>fitted</v>
      </c>
      <c r="P3" t="str">
        <f t="shared" si="2"/>
        <v>year</v>
      </c>
      <c r="Q3" t="str">
        <f t="shared" si="2"/>
        <v>actual</v>
      </c>
      <c r="R3" t="str">
        <f t="shared" si="2"/>
        <v>fitted</v>
      </c>
      <c r="S3" t="str">
        <f t="shared" si="2"/>
        <v>year</v>
      </c>
      <c r="T3" t="str">
        <f t="shared" si="2"/>
        <v>actual</v>
      </c>
      <c r="U3" t="str">
        <f t="shared" si="2"/>
        <v>fitted</v>
      </c>
      <c r="V3" t="str">
        <f t="shared" si="2"/>
        <v>year</v>
      </c>
      <c r="W3" t="str">
        <f t="shared" si="2"/>
        <v>actual</v>
      </c>
      <c r="X3" t="str">
        <f t="shared" si="2"/>
        <v>fitted</v>
      </c>
      <c r="Y3" t="str">
        <f t="shared" si="2"/>
        <v>year</v>
      </c>
      <c r="Z3" t="str">
        <f t="shared" si="2"/>
        <v>actual</v>
      </c>
      <c r="AA3" t="str">
        <f t="shared" si="2"/>
        <v>fitted</v>
      </c>
      <c r="AB3" t="str">
        <f t="shared" si="2"/>
        <v>year</v>
      </c>
      <c r="AC3" t="str">
        <f t="shared" si="2"/>
        <v>actual</v>
      </c>
      <c r="AD3" t="str">
        <f t="shared" si="2"/>
        <v>fitted</v>
      </c>
      <c r="AE3" t="str">
        <f t="shared" si="2"/>
        <v>year</v>
      </c>
      <c r="AF3" t="str">
        <f t="shared" si="2"/>
        <v>actual</v>
      </c>
      <c r="AG3" t="str">
        <f t="shared" si="2"/>
        <v>fitted</v>
      </c>
      <c r="AH3" t="str">
        <f t="shared" si="2"/>
        <v>year</v>
      </c>
      <c r="AI3" t="str">
        <f t="shared" si="2"/>
        <v>actual</v>
      </c>
      <c r="AJ3" t="str">
        <f t="shared" si="2"/>
        <v>fitted</v>
      </c>
      <c r="AK3" t="str">
        <f t="shared" si="2"/>
        <v>year</v>
      </c>
      <c r="AL3" t="str">
        <f t="shared" si="2"/>
        <v>actual</v>
      </c>
      <c r="AM3" t="str">
        <f t="shared" si="2"/>
        <v>fitted</v>
      </c>
      <c r="AN3" t="str">
        <f t="shared" si="2"/>
        <v>year</v>
      </c>
      <c r="AO3" t="str">
        <f t="shared" si="2"/>
        <v>actual</v>
      </c>
      <c r="AP3" t="str">
        <f t="shared" si="2"/>
        <v>fitted</v>
      </c>
      <c r="AQ3" t="str">
        <f t="shared" si="2"/>
        <v>year</v>
      </c>
      <c r="AR3" t="str">
        <f t="shared" si="2"/>
        <v>actual</v>
      </c>
      <c r="AS3" t="str">
        <f t="shared" si="2"/>
        <v>fitted</v>
      </c>
    </row>
    <row r="4" spans="1:45">
      <c r="A4">
        <v>1928</v>
      </c>
      <c r="B4">
        <v>-2.3025850000000001</v>
      </c>
      <c r="C4">
        <v>-3.3725550000000002</v>
      </c>
      <c r="D4">
        <v>1930</v>
      </c>
      <c r="E4">
        <v>5.1179940000000004</v>
      </c>
      <c r="F4">
        <v>4.290597</v>
      </c>
      <c r="G4">
        <v>1900</v>
      </c>
      <c r="H4">
        <v>8.9871970000000001</v>
      </c>
      <c r="I4">
        <v>8.2640940000000001</v>
      </c>
      <c r="J4">
        <v>1984</v>
      </c>
      <c r="K4">
        <v>11.422969999999999</v>
      </c>
      <c r="L4">
        <v>11.434089999999999</v>
      </c>
      <c r="M4">
        <v>1902</v>
      </c>
      <c r="N4">
        <v>22.510010000000001</v>
      </c>
      <c r="O4">
        <v>22.47373</v>
      </c>
      <c r="P4">
        <v>1990</v>
      </c>
      <c r="Q4">
        <v>14.512320000000001</v>
      </c>
      <c r="R4">
        <v>14.2751</v>
      </c>
      <c r="S4">
        <v>1983</v>
      </c>
      <c r="T4">
        <v>4.9836070000000001</v>
      </c>
      <c r="U4">
        <v>4.8765939999999999</v>
      </c>
      <c r="V4">
        <v>1981</v>
      </c>
      <c r="W4">
        <v>14.56475</v>
      </c>
      <c r="X4">
        <v>14.510529999999999</v>
      </c>
      <c r="Y4">
        <v>1830</v>
      </c>
      <c r="Z4">
        <v>4.2341069999999998</v>
      </c>
      <c r="AA4">
        <v>4.0953359999999996</v>
      </c>
      <c r="AB4">
        <v>1870</v>
      </c>
      <c r="AC4">
        <v>2.197225</v>
      </c>
      <c r="AD4">
        <v>1.846471</v>
      </c>
      <c r="AE4">
        <v>1876</v>
      </c>
      <c r="AF4">
        <v>8.0063680000000002</v>
      </c>
      <c r="AG4">
        <v>7.7701269999999996</v>
      </c>
      <c r="AH4">
        <v>1904</v>
      </c>
      <c r="AI4">
        <v>-0.35667500000000002</v>
      </c>
      <c r="AJ4">
        <v>-1.195692</v>
      </c>
      <c r="AK4">
        <v>1960</v>
      </c>
      <c r="AL4">
        <v>8.0179659999999995</v>
      </c>
      <c r="AM4">
        <v>7.4996619999999998</v>
      </c>
      <c r="AN4">
        <v>1870</v>
      </c>
      <c r="AO4">
        <v>9.7634840000000001</v>
      </c>
      <c r="AP4">
        <v>9.4009669999999996</v>
      </c>
      <c r="AQ4">
        <v>1882</v>
      </c>
      <c r="AR4">
        <v>9.4232720000000008</v>
      </c>
      <c r="AS4">
        <v>8.9944559999999996</v>
      </c>
    </row>
    <row r="5" spans="1:45">
      <c r="A5">
        <v>1929</v>
      </c>
      <c r="B5">
        <v>-2.3025850000000001</v>
      </c>
      <c r="C5">
        <v>-1.937068</v>
      </c>
      <c r="D5">
        <v>1931</v>
      </c>
      <c r="E5">
        <v>5.2729999999999997</v>
      </c>
      <c r="F5">
        <v>5.3921210000000004</v>
      </c>
      <c r="G5">
        <v>1901</v>
      </c>
      <c r="H5">
        <v>9.6158059999999992</v>
      </c>
      <c r="I5">
        <v>9.6542650000000005</v>
      </c>
      <c r="J5">
        <v>1985</v>
      </c>
      <c r="K5">
        <v>12.735049999999999</v>
      </c>
      <c r="L5">
        <v>12.65699</v>
      </c>
      <c r="M5">
        <v>1903</v>
      </c>
      <c r="N5" t="e">
        <f>NA()</f>
        <v>#N/A</v>
      </c>
      <c r="O5" t="e">
        <f>NA()</f>
        <v>#N/A</v>
      </c>
      <c r="P5">
        <v>1991</v>
      </c>
      <c r="Q5">
        <v>14.918799999999999</v>
      </c>
      <c r="R5">
        <v>15.023569999999999</v>
      </c>
      <c r="S5">
        <v>1984</v>
      </c>
      <c r="T5">
        <v>5.123964</v>
      </c>
      <c r="U5">
        <v>5.2519530000000003</v>
      </c>
      <c r="V5">
        <v>1982</v>
      </c>
      <c r="W5">
        <v>15.523440000000001</v>
      </c>
      <c r="X5">
        <v>15.83365</v>
      </c>
      <c r="Y5">
        <v>1831</v>
      </c>
      <c r="Z5">
        <v>4.510859</v>
      </c>
      <c r="AA5" t="e">
        <f>NA()</f>
        <v>#N/A</v>
      </c>
      <c r="AB5">
        <v>1871</v>
      </c>
      <c r="AC5">
        <v>2.3978950000000001</v>
      </c>
      <c r="AD5">
        <v>2.164418</v>
      </c>
      <c r="AE5">
        <v>1877</v>
      </c>
      <c r="AF5">
        <v>9.1049799999999994</v>
      </c>
      <c r="AG5">
        <v>9.5719119999999993</v>
      </c>
      <c r="AH5">
        <v>1905</v>
      </c>
      <c r="AI5">
        <v>0.3364722</v>
      </c>
      <c r="AJ5">
        <v>0.61181940000000001</v>
      </c>
      <c r="AK5">
        <v>1961</v>
      </c>
      <c r="AL5">
        <v>8.1884119999999996</v>
      </c>
      <c r="AM5">
        <v>8.6376989999999996</v>
      </c>
      <c r="AN5">
        <v>1871</v>
      </c>
      <c r="AO5">
        <v>9.8877500000000005</v>
      </c>
      <c r="AP5">
        <v>9.8223859999999998</v>
      </c>
      <c r="AQ5">
        <v>1883</v>
      </c>
      <c r="AR5">
        <v>9.5284300000000002</v>
      </c>
      <c r="AS5">
        <v>9.3742280000000004</v>
      </c>
    </row>
    <row r="6" spans="1:45">
      <c r="A6">
        <v>1930</v>
      </c>
      <c r="B6">
        <v>-1.6094379999999999</v>
      </c>
      <c r="C6">
        <v>-0.84414639999999996</v>
      </c>
      <c r="D6">
        <v>1932</v>
      </c>
      <c r="E6">
        <v>5.47227</v>
      </c>
      <c r="F6">
        <v>6.2007640000000004</v>
      </c>
      <c r="G6">
        <v>1902</v>
      </c>
      <c r="H6">
        <v>10.04325</v>
      </c>
      <c r="I6">
        <v>10.639849999999999</v>
      </c>
      <c r="J6">
        <v>1986</v>
      </c>
      <c r="K6">
        <v>13.43037</v>
      </c>
      <c r="L6">
        <v>13.465590000000001</v>
      </c>
      <c r="M6">
        <v>1904</v>
      </c>
      <c r="N6" t="e">
        <f>NA()</f>
        <v>#N/A</v>
      </c>
      <c r="O6" t="e">
        <f>NA()</f>
        <v>#N/A</v>
      </c>
      <c r="P6">
        <v>1992</v>
      </c>
      <c r="Q6">
        <v>15.32578</v>
      </c>
      <c r="R6">
        <v>15.579840000000001</v>
      </c>
      <c r="S6">
        <v>1985</v>
      </c>
      <c r="T6">
        <v>5.5451769999999998</v>
      </c>
      <c r="U6">
        <v>5.6236810000000004</v>
      </c>
      <c r="V6">
        <v>1983</v>
      </c>
      <c r="W6">
        <v>16.308720000000001</v>
      </c>
      <c r="X6">
        <v>16.357089999999999</v>
      </c>
      <c r="Y6">
        <v>1832</v>
      </c>
      <c r="Z6">
        <v>4.6249729999999998</v>
      </c>
      <c r="AA6" t="e">
        <f>NA()</f>
        <v>#N/A</v>
      </c>
      <c r="AB6">
        <v>1872</v>
      </c>
      <c r="AC6">
        <v>2.4849070000000002</v>
      </c>
      <c r="AD6">
        <v>2.4286530000000002</v>
      </c>
      <c r="AE6">
        <v>1878</v>
      </c>
      <c r="AF6">
        <v>10.165850000000001</v>
      </c>
      <c r="AG6">
        <v>10.30226</v>
      </c>
      <c r="AH6">
        <v>1906</v>
      </c>
      <c r="AI6">
        <v>0.78845739999999997</v>
      </c>
      <c r="AJ6">
        <v>1.342346</v>
      </c>
      <c r="AK6">
        <v>1962</v>
      </c>
      <c r="AL6">
        <v>8.5247639999999993</v>
      </c>
      <c r="AM6">
        <v>9.199249</v>
      </c>
      <c r="AN6">
        <v>1872</v>
      </c>
      <c r="AO6">
        <v>10.0297</v>
      </c>
      <c r="AP6">
        <v>10.08982</v>
      </c>
      <c r="AQ6">
        <v>1884</v>
      </c>
      <c r="AR6">
        <v>9.5559139999999996</v>
      </c>
      <c r="AS6">
        <v>9.6101860000000006</v>
      </c>
    </row>
    <row r="7" spans="1:45">
      <c r="A7">
        <v>1931</v>
      </c>
      <c r="B7">
        <v>-1.203973</v>
      </c>
      <c r="C7">
        <v>-2.0265999999999999E-2</v>
      </c>
      <c r="D7">
        <v>1933</v>
      </c>
      <c r="E7">
        <v>5.7745509999999998</v>
      </c>
      <c r="F7">
        <v>6.6804189999999997</v>
      </c>
      <c r="G7">
        <v>1903</v>
      </c>
      <c r="H7">
        <v>10.404260000000001</v>
      </c>
      <c r="I7">
        <v>11.219749999999999</v>
      </c>
      <c r="J7">
        <v>1987</v>
      </c>
      <c r="K7">
        <v>14.021100000000001</v>
      </c>
      <c r="L7">
        <v>14.081009999999999</v>
      </c>
      <c r="M7">
        <v>1905</v>
      </c>
      <c r="N7" t="e">
        <f>NA()</f>
        <v>#N/A</v>
      </c>
      <c r="O7" t="e">
        <f>NA()</f>
        <v>#N/A</v>
      </c>
      <c r="P7">
        <v>1993</v>
      </c>
      <c r="Q7">
        <v>15.61429</v>
      </c>
      <c r="R7">
        <v>16.081289999999999</v>
      </c>
      <c r="S7">
        <v>1986</v>
      </c>
      <c r="T7">
        <v>5.8636309999999998</v>
      </c>
      <c r="U7">
        <v>5.9304779999999999</v>
      </c>
      <c r="V7">
        <v>1984</v>
      </c>
      <c r="W7">
        <v>16.7652</v>
      </c>
      <c r="X7">
        <v>16.665800000000001</v>
      </c>
      <c r="Y7">
        <v>1833</v>
      </c>
      <c r="Z7">
        <v>4.8121840000000002</v>
      </c>
      <c r="AA7" t="e">
        <f>NA()</f>
        <v>#N/A</v>
      </c>
      <c r="AB7">
        <v>1873</v>
      </c>
      <c r="AC7">
        <v>2.6390570000000002</v>
      </c>
      <c r="AD7">
        <v>2.6275219999999999</v>
      </c>
      <c r="AE7">
        <v>1879</v>
      </c>
      <c r="AF7">
        <v>10.34174</v>
      </c>
      <c r="AG7">
        <v>10.64555</v>
      </c>
      <c r="AH7">
        <v>1907</v>
      </c>
      <c r="AI7">
        <v>1.064711</v>
      </c>
      <c r="AJ7">
        <v>2.1096360000000001</v>
      </c>
      <c r="AK7">
        <v>1963</v>
      </c>
      <c r="AL7">
        <v>8.9557070000000003</v>
      </c>
      <c r="AM7">
        <v>9.6140000000000008</v>
      </c>
      <c r="AN7">
        <v>1873</v>
      </c>
      <c r="AO7">
        <v>10.182790000000001</v>
      </c>
      <c r="AP7">
        <v>10.28463</v>
      </c>
      <c r="AQ7">
        <v>1885</v>
      </c>
      <c r="AR7">
        <v>9.5956030000000005</v>
      </c>
      <c r="AS7">
        <v>9.7855749999999997</v>
      </c>
    </row>
    <row r="8" spans="1:45">
      <c r="A8">
        <v>1932</v>
      </c>
      <c r="B8">
        <v>-0.91629070000000001</v>
      </c>
      <c r="C8">
        <v>0.8277679</v>
      </c>
      <c r="D8">
        <v>1934</v>
      </c>
      <c r="E8">
        <v>5.8998980000000003</v>
      </c>
      <c r="F8">
        <v>6.9388969999999999</v>
      </c>
      <c r="G8">
        <v>1904</v>
      </c>
      <c r="H8">
        <v>10.915089999999999</v>
      </c>
      <c r="I8">
        <v>11.870520000000001</v>
      </c>
      <c r="J8">
        <v>1988</v>
      </c>
      <c r="K8">
        <v>14.540660000000001</v>
      </c>
      <c r="L8">
        <v>14.56742</v>
      </c>
      <c r="M8">
        <v>1906</v>
      </c>
      <c r="N8" t="e">
        <f>NA()</f>
        <v>#N/A</v>
      </c>
      <c r="O8" t="e">
        <f>NA()</f>
        <v>#N/A</v>
      </c>
      <c r="P8">
        <v>1994</v>
      </c>
      <c r="Q8">
        <v>16.388120000000001</v>
      </c>
      <c r="R8">
        <v>16.504100000000001</v>
      </c>
      <c r="S8">
        <v>1987</v>
      </c>
      <c r="T8">
        <v>6.1882640000000002</v>
      </c>
      <c r="U8">
        <v>6.1766880000000004</v>
      </c>
      <c r="V8">
        <v>1985</v>
      </c>
      <c r="W8">
        <v>17.042349999999999</v>
      </c>
      <c r="X8">
        <v>16.925999999999998</v>
      </c>
      <c r="Y8">
        <v>1834</v>
      </c>
      <c r="Z8">
        <v>4.8121840000000002</v>
      </c>
      <c r="AA8" t="e">
        <f>NA()</f>
        <v>#N/A</v>
      </c>
      <c r="AB8">
        <v>1874</v>
      </c>
      <c r="AC8">
        <v>2.772589</v>
      </c>
      <c r="AD8">
        <v>2.894603</v>
      </c>
      <c r="AE8">
        <v>1880</v>
      </c>
      <c r="AF8">
        <v>10.77896</v>
      </c>
      <c r="AG8">
        <v>10.88217</v>
      </c>
      <c r="AH8">
        <v>1908</v>
      </c>
      <c r="AI8">
        <v>1.3862939999999999</v>
      </c>
      <c r="AJ8">
        <v>3.1052629999999999</v>
      </c>
      <c r="AK8">
        <v>1964</v>
      </c>
      <c r="AL8">
        <v>9.5473839999999992</v>
      </c>
      <c r="AM8">
        <v>9.8672020000000007</v>
      </c>
      <c r="AN8">
        <v>1874</v>
      </c>
      <c r="AO8">
        <v>10.21611</v>
      </c>
      <c r="AP8">
        <v>10.463760000000001</v>
      </c>
      <c r="AQ8">
        <v>1886</v>
      </c>
      <c r="AR8">
        <v>9.6515590000000007</v>
      </c>
      <c r="AS8">
        <v>9.9137570000000004</v>
      </c>
    </row>
    <row r="9" spans="1:45">
      <c r="A9">
        <v>1933</v>
      </c>
      <c r="B9">
        <v>-0.51082559999999999</v>
      </c>
      <c r="C9">
        <v>1.328759</v>
      </c>
      <c r="D9">
        <v>1935</v>
      </c>
      <c r="E9">
        <v>6.3681869999999998</v>
      </c>
      <c r="F9">
        <v>7.1525990000000004</v>
      </c>
      <c r="G9">
        <v>1905</v>
      </c>
      <c r="H9">
        <v>11.25156</v>
      </c>
      <c r="I9">
        <v>12.147209999999999</v>
      </c>
      <c r="J9">
        <v>1989</v>
      </c>
      <c r="K9">
        <v>15.068709999999999</v>
      </c>
      <c r="L9">
        <v>15.00956</v>
      </c>
      <c r="M9">
        <v>1907</v>
      </c>
      <c r="N9">
        <v>23.369440000000001</v>
      </c>
      <c r="O9">
        <v>23.600110000000001</v>
      </c>
      <c r="P9">
        <v>1995</v>
      </c>
      <c r="Q9">
        <v>17.042349999999999</v>
      </c>
      <c r="R9">
        <v>16.926760000000002</v>
      </c>
      <c r="S9">
        <v>1988</v>
      </c>
      <c r="T9">
        <v>6.4738910000000001</v>
      </c>
      <c r="U9">
        <v>6.3563409999999996</v>
      </c>
      <c r="V9">
        <v>1986</v>
      </c>
      <c r="W9">
        <v>17.25272</v>
      </c>
      <c r="X9">
        <v>17.14209</v>
      </c>
      <c r="Y9">
        <v>1835</v>
      </c>
      <c r="Z9">
        <v>4.9836070000000001</v>
      </c>
      <c r="AA9" t="e">
        <f>NA()</f>
        <v>#N/A</v>
      </c>
      <c r="AB9">
        <v>1875</v>
      </c>
      <c r="AC9">
        <v>2.8332130000000002</v>
      </c>
      <c r="AD9">
        <v>3.029217</v>
      </c>
      <c r="AE9">
        <v>1881</v>
      </c>
      <c r="AF9">
        <v>11.17043</v>
      </c>
      <c r="AG9">
        <v>11.20134</v>
      </c>
      <c r="AH9">
        <v>1909</v>
      </c>
      <c r="AI9">
        <v>1.7917590000000001</v>
      </c>
      <c r="AJ9">
        <v>3.2457820000000002</v>
      </c>
      <c r="AK9">
        <v>1965</v>
      </c>
      <c r="AL9">
        <v>9.9403020000000009</v>
      </c>
      <c r="AM9">
        <v>10.023350000000001</v>
      </c>
      <c r="AN9">
        <v>1875</v>
      </c>
      <c r="AO9">
        <v>10.230180000000001</v>
      </c>
      <c r="AP9">
        <v>10.594110000000001</v>
      </c>
      <c r="AQ9">
        <v>1887</v>
      </c>
      <c r="AR9">
        <v>9.7416149999999995</v>
      </c>
      <c r="AS9">
        <v>10.01116</v>
      </c>
    </row>
    <row r="10" spans="1:45">
      <c r="A10">
        <v>1934</v>
      </c>
      <c r="B10">
        <v>-3.0459199999999999E-2</v>
      </c>
      <c r="C10">
        <v>1.5651330000000001</v>
      </c>
      <c r="D10">
        <v>1936</v>
      </c>
      <c r="E10">
        <v>6.6515719999999998</v>
      </c>
      <c r="F10">
        <v>7.2425249999999997</v>
      </c>
      <c r="G10">
        <v>1906</v>
      </c>
      <c r="H10">
        <v>11.57119</v>
      </c>
      <c r="I10">
        <v>12.23025</v>
      </c>
      <c r="J10">
        <v>1990</v>
      </c>
      <c r="K10">
        <v>15.482950000000001</v>
      </c>
      <c r="L10">
        <v>15.465719999999999</v>
      </c>
      <c r="M10">
        <v>1908</v>
      </c>
      <c r="N10" t="e">
        <f>NA()</f>
        <v>#N/A</v>
      </c>
      <c r="O10" t="e">
        <f>NA()</f>
        <v>#N/A</v>
      </c>
      <c r="P10">
        <v>1996</v>
      </c>
      <c r="Q10">
        <v>17.628820000000001</v>
      </c>
      <c r="R10">
        <v>17.297540000000001</v>
      </c>
      <c r="S10">
        <v>1989</v>
      </c>
      <c r="T10">
        <v>6.6437900000000001</v>
      </c>
      <c r="U10">
        <v>6.5333569999999996</v>
      </c>
      <c r="V10">
        <v>1987</v>
      </c>
      <c r="W10">
        <v>17.44782</v>
      </c>
      <c r="X10">
        <v>17.324809999999999</v>
      </c>
      <c r="Y10">
        <v>1836</v>
      </c>
      <c r="Z10">
        <v>5.043425</v>
      </c>
      <c r="AA10" t="e">
        <f>NA()</f>
        <v>#N/A</v>
      </c>
      <c r="AB10">
        <v>1876</v>
      </c>
      <c r="AC10">
        <v>2.944439</v>
      </c>
      <c r="AD10">
        <v>3.2170139999999998</v>
      </c>
      <c r="AE10">
        <v>1882</v>
      </c>
      <c r="AF10">
        <v>11.49272</v>
      </c>
      <c r="AG10">
        <v>11.42661</v>
      </c>
      <c r="AH10">
        <v>1910</v>
      </c>
      <c r="AI10">
        <v>2.3025850000000001</v>
      </c>
      <c r="AJ10">
        <v>3.724523</v>
      </c>
      <c r="AK10">
        <v>1966</v>
      </c>
      <c r="AL10">
        <v>10.334619999999999</v>
      </c>
      <c r="AM10">
        <v>10.119590000000001</v>
      </c>
      <c r="AN10">
        <v>1876</v>
      </c>
      <c r="AO10">
        <v>10.337719999999999</v>
      </c>
      <c r="AP10">
        <v>10.723549999999999</v>
      </c>
      <c r="AQ10">
        <v>1888</v>
      </c>
      <c r="AR10">
        <v>9.7986819999999994</v>
      </c>
      <c r="AS10">
        <v>10.11341</v>
      </c>
    </row>
    <row r="11" spans="1:45">
      <c r="A11">
        <v>1935</v>
      </c>
      <c r="B11">
        <v>0.47000360000000002</v>
      </c>
      <c r="C11">
        <v>1.7723169999999999</v>
      </c>
      <c r="D11">
        <v>1937</v>
      </c>
      <c r="E11">
        <v>6.6200729999999997</v>
      </c>
      <c r="F11">
        <v>7.4468540000000001</v>
      </c>
      <c r="G11">
        <v>1907</v>
      </c>
      <c r="H11">
        <v>11.849399999999999</v>
      </c>
      <c r="I11">
        <v>12.592739999999999</v>
      </c>
      <c r="J11">
        <v>1991</v>
      </c>
      <c r="K11">
        <v>15.83962</v>
      </c>
      <c r="L11">
        <v>15.95857</v>
      </c>
      <c r="M11">
        <v>1909</v>
      </c>
      <c r="N11" t="e">
        <f>NA()</f>
        <v>#N/A</v>
      </c>
      <c r="O11" t="e">
        <f>NA()</f>
        <v>#N/A</v>
      </c>
      <c r="P11">
        <v>1997</v>
      </c>
      <c r="Q11">
        <v>17.914840000000002</v>
      </c>
      <c r="R11">
        <v>17.633870000000002</v>
      </c>
      <c r="S11">
        <v>1990</v>
      </c>
      <c r="T11">
        <v>6.8308739999999997</v>
      </c>
      <c r="U11">
        <v>6.7577129999999999</v>
      </c>
      <c r="V11">
        <v>1988</v>
      </c>
      <c r="W11">
        <v>17.622170000000001</v>
      </c>
      <c r="X11">
        <v>17.47785</v>
      </c>
      <c r="Y11">
        <v>1837</v>
      </c>
      <c r="Z11">
        <v>5.2626900000000001</v>
      </c>
      <c r="AA11" t="e">
        <f>NA()</f>
        <v>#N/A</v>
      </c>
      <c r="AB11">
        <v>1877</v>
      </c>
      <c r="AC11">
        <v>3.091043</v>
      </c>
      <c r="AD11">
        <v>3.351143</v>
      </c>
      <c r="AE11">
        <v>1883</v>
      </c>
      <c r="AF11">
        <v>11.72804</v>
      </c>
      <c r="AG11">
        <v>11.68793</v>
      </c>
      <c r="AH11">
        <v>1911</v>
      </c>
      <c r="AI11">
        <v>3.0445229999999999</v>
      </c>
      <c r="AJ11">
        <v>4.0483840000000004</v>
      </c>
      <c r="AK11">
        <v>1967</v>
      </c>
      <c r="AL11">
        <v>10.53497</v>
      </c>
      <c r="AM11">
        <v>10.30791</v>
      </c>
      <c r="AN11">
        <v>1877</v>
      </c>
      <c r="AO11">
        <v>10.33928</v>
      </c>
      <c r="AP11">
        <v>10.83156</v>
      </c>
      <c r="AQ11">
        <v>1889</v>
      </c>
      <c r="AR11">
        <v>9.8655779999999993</v>
      </c>
      <c r="AS11">
        <v>10.1736</v>
      </c>
    </row>
    <row r="12" spans="1:45">
      <c r="A12">
        <v>1936</v>
      </c>
      <c r="B12">
        <v>0.99325180000000002</v>
      </c>
      <c r="C12">
        <v>1.81697</v>
      </c>
      <c r="D12">
        <v>1938</v>
      </c>
      <c r="E12">
        <v>6.7546039999999996</v>
      </c>
      <c r="F12">
        <v>7.7634480000000003</v>
      </c>
      <c r="G12">
        <v>1908</v>
      </c>
      <c r="H12">
        <v>12.175610000000001</v>
      </c>
      <c r="I12">
        <v>13.27966</v>
      </c>
      <c r="J12">
        <v>1992</v>
      </c>
      <c r="K12">
        <v>16.21341</v>
      </c>
      <c r="L12">
        <v>16.309229999999999</v>
      </c>
      <c r="M12">
        <v>1910</v>
      </c>
      <c r="N12" t="e">
        <f>NA()</f>
        <v>#N/A</v>
      </c>
      <c r="O12" t="e">
        <f>NA()</f>
        <v>#N/A</v>
      </c>
      <c r="P12">
        <v>1998</v>
      </c>
      <c r="Q12">
        <v>18.25816</v>
      </c>
      <c r="R12">
        <v>17.96095</v>
      </c>
      <c r="S12">
        <v>1991</v>
      </c>
      <c r="T12">
        <v>6.9469760000000003</v>
      </c>
      <c r="U12">
        <v>7.045776</v>
      </c>
      <c r="V12">
        <v>1989</v>
      </c>
      <c r="W12">
        <v>17.713429999999999</v>
      </c>
      <c r="X12">
        <v>17.622689999999999</v>
      </c>
      <c r="Y12">
        <v>1838</v>
      </c>
      <c r="Z12">
        <v>5.2729999999999997</v>
      </c>
      <c r="AA12" t="e">
        <f>NA()</f>
        <v>#N/A</v>
      </c>
      <c r="AB12">
        <v>1878</v>
      </c>
      <c r="AC12">
        <v>3.2188759999999998</v>
      </c>
      <c r="AD12">
        <v>3.4549569999999998</v>
      </c>
      <c r="AE12">
        <v>1884</v>
      </c>
      <c r="AF12">
        <v>11.90497</v>
      </c>
      <c r="AG12">
        <v>11.93624</v>
      </c>
      <c r="AH12">
        <v>1912</v>
      </c>
      <c r="AI12">
        <v>3.73767</v>
      </c>
      <c r="AJ12">
        <v>4.2841430000000003</v>
      </c>
      <c r="AK12">
        <v>1968</v>
      </c>
      <c r="AL12">
        <v>10.693759999999999</v>
      </c>
      <c r="AM12">
        <v>10.38944</v>
      </c>
      <c r="AN12">
        <v>1878</v>
      </c>
      <c r="AO12">
        <v>10.538819999999999</v>
      </c>
      <c r="AP12">
        <v>10.925689999999999</v>
      </c>
      <c r="AQ12">
        <v>1890</v>
      </c>
      <c r="AR12">
        <v>9.9110580000000006</v>
      </c>
      <c r="AS12">
        <v>10.2446</v>
      </c>
    </row>
    <row r="13" spans="1:45">
      <c r="A13">
        <v>1937</v>
      </c>
      <c r="B13">
        <v>1.163151</v>
      </c>
      <c r="C13">
        <v>2.050656</v>
      </c>
      <c r="D13">
        <v>1939</v>
      </c>
      <c r="E13">
        <v>7.1024989999999999</v>
      </c>
      <c r="F13">
        <v>7.8882729999999999</v>
      </c>
      <c r="G13">
        <v>1909</v>
      </c>
      <c r="H13">
        <v>12.63134</v>
      </c>
      <c r="I13">
        <v>13.244630000000001</v>
      </c>
      <c r="J13">
        <v>1993</v>
      </c>
      <c r="K13">
        <v>16.588100000000001</v>
      </c>
      <c r="L13">
        <v>16.65719</v>
      </c>
      <c r="M13">
        <v>1911</v>
      </c>
      <c r="N13" t="e">
        <f>NA()</f>
        <v>#N/A</v>
      </c>
      <c r="O13" t="e">
        <f>NA()</f>
        <v>#N/A</v>
      </c>
      <c r="P13">
        <v>1999</v>
      </c>
      <c r="Q13">
        <v>18.440480000000001</v>
      </c>
      <c r="R13">
        <v>18.268750000000001</v>
      </c>
      <c r="S13">
        <v>1992</v>
      </c>
      <c r="T13">
        <v>7.1057860000000002</v>
      </c>
      <c r="U13">
        <v>7.1834579999999999</v>
      </c>
      <c r="V13">
        <v>1990</v>
      </c>
      <c r="W13">
        <v>17.811869999999999</v>
      </c>
      <c r="X13">
        <v>17.776630000000001</v>
      </c>
      <c r="Y13">
        <v>1839</v>
      </c>
      <c r="Z13">
        <v>5.308268</v>
      </c>
      <c r="AA13" t="e">
        <f>NA()</f>
        <v>#N/A</v>
      </c>
      <c r="AB13">
        <v>1879</v>
      </c>
      <c r="AC13">
        <v>3.2580960000000001</v>
      </c>
      <c r="AD13">
        <v>3.4077540000000002</v>
      </c>
      <c r="AE13">
        <v>1885</v>
      </c>
      <c r="AF13">
        <v>11.957610000000001</v>
      </c>
      <c r="AG13">
        <v>12.18413</v>
      </c>
      <c r="AH13">
        <v>1913</v>
      </c>
      <c r="AI13">
        <v>4.2195080000000003</v>
      </c>
      <c r="AJ13">
        <v>4.5390050000000004</v>
      </c>
      <c r="AK13">
        <v>1969</v>
      </c>
      <c r="AL13">
        <v>10.90823</v>
      </c>
      <c r="AM13">
        <v>10.50079</v>
      </c>
      <c r="AN13">
        <v>1879</v>
      </c>
      <c r="AO13">
        <v>10.740830000000001</v>
      </c>
      <c r="AP13">
        <v>10.98052</v>
      </c>
      <c r="AQ13">
        <v>1891</v>
      </c>
      <c r="AR13">
        <v>9.9626520000000003</v>
      </c>
      <c r="AS13">
        <v>10.29541</v>
      </c>
    </row>
    <row r="14" spans="1:45">
      <c r="A14">
        <v>1938</v>
      </c>
      <c r="B14">
        <v>1.163151</v>
      </c>
      <c r="C14">
        <v>2.4643890000000002</v>
      </c>
      <c r="D14">
        <v>1940</v>
      </c>
      <c r="E14">
        <v>7.5251010000000003</v>
      </c>
      <c r="F14">
        <v>8.0055580000000006</v>
      </c>
      <c r="G14">
        <v>1910</v>
      </c>
      <c r="H14">
        <v>13.03462</v>
      </c>
      <c r="I14">
        <v>13.56015</v>
      </c>
      <c r="J14">
        <v>1994</v>
      </c>
      <c r="K14">
        <v>16.997720000000001</v>
      </c>
      <c r="L14">
        <v>16.940000000000001</v>
      </c>
      <c r="M14">
        <v>1912</v>
      </c>
      <c r="N14">
        <v>23.93411</v>
      </c>
      <c r="O14">
        <v>24.117940000000001</v>
      </c>
      <c r="P14">
        <v>2000</v>
      </c>
      <c r="Q14">
        <v>18.63579</v>
      </c>
      <c r="R14">
        <v>18.581340000000001</v>
      </c>
      <c r="S14">
        <v>1993</v>
      </c>
      <c r="T14">
        <v>7.3323689999999999</v>
      </c>
      <c r="U14">
        <v>7.3293039999999996</v>
      </c>
      <c r="V14">
        <v>1991</v>
      </c>
      <c r="W14">
        <v>17.894739999999999</v>
      </c>
      <c r="X14">
        <v>17.945910000000001</v>
      </c>
      <c r="Y14">
        <v>1840</v>
      </c>
      <c r="Z14">
        <v>5.1647860000000003</v>
      </c>
      <c r="AA14">
        <v>5.0466639999999998</v>
      </c>
      <c r="AB14">
        <v>1880</v>
      </c>
      <c r="AC14">
        <v>3.4011969999999998</v>
      </c>
      <c r="AD14">
        <v>3.3610259999999998</v>
      </c>
      <c r="AE14">
        <v>1886</v>
      </c>
      <c r="AF14">
        <v>12.02575</v>
      </c>
      <c r="AG14">
        <v>12.376670000000001</v>
      </c>
      <c r="AH14">
        <v>1914</v>
      </c>
      <c r="AI14">
        <v>4.5951199999999996</v>
      </c>
      <c r="AJ14">
        <v>5.2198580000000003</v>
      </c>
      <c r="AK14">
        <v>1970</v>
      </c>
      <c r="AL14">
        <v>10.9587</v>
      </c>
      <c r="AM14">
        <v>10.70124</v>
      </c>
      <c r="AN14">
        <v>1880</v>
      </c>
      <c r="AO14">
        <v>10.843349999999999</v>
      </c>
      <c r="AP14">
        <v>11.031269999999999</v>
      </c>
      <c r="AQ14">
        <v>1892</v>
      </c>
      <c r="AR14">
        <v>10.00229</v>
      </c>
      <c r="AS14">
        <v>10.317</v>
      </c>
    </row>
    <row r="15" spans="1:45">
      <c r="A15">
        <v>1939</v>
      </c>
      <c r="B15">
        <v>1.3862939999999999</v>
      </c>
      <c r="C15">
        <v>2.5968749999999998</v>
      </c>
      <c r="D15">
        <v>1941</v>
      </c>
      <c r="E15">
        <v>7.8204390000000004</v>
      </c>
      <c r="F15">
        <v>7.9756539999999996</v>
      </c>
      <c r="G15">
        <v>1911</v>
      </c>
      <c r="H15">
        <v>13.33586</v>
      </c>
      <c r="I15">
        <v>13.7593</v>
      </c>
      <c r="J15">
        <v>1995</v>
      </c>
      <c r="K15">
        <v>17.33597</v>
      </c>
      <c r="L15">
        <v>17.255099999999999</v>
      </c>
      <c r="M15">
        <v>1913</v>
      </c>
      <c r="N15" t="e">
        <f>NA()</f>
        <v>#N/A</v>
      </c>
      <c r="O15" t="e">
        <f>NA()</f>
        <v>#N/A</v>
      </c>
      <c r="P15">
        <v>2001</v>
      </c>
      <c r="Q15">
        <v>18.77835</v>
      </c>
      <c r="R15">
        <v>18.945550000000001</v>
      </c>
      <c r="S15">
        <v>1994</v>
      </c>
      <c r="T15">
        <v>7.4730689999999997</v>
      </c>
      <c r="U15">
        <v>7.407991</v>
      </c>
      <c r="V15">
        <v>1992</v>
      </c>
      <c r="W15">
        <v>17.98218</v>
      </c>
      <c r="X15">
        <v>18.068359999999998</v>
      </c>
      <c r="Y15">
        <v>1841</v>
      </c>
      <c r="Z15">
        <v>5.4380790000000001</v>
      </c>
      <c r="AA15" t="e">
        <f>NA()</f>
        <v>#N/A</v>
      </c>
      <c r="AB15">
        <v>1881</v>
      </c>
      <c r="AC15">
        <v>3.5263610000000001</v>
      </c>
      <c r="AD15">
        <v>3.4605640000000002</v>
      </c>
      <c r="AE15">
        <v>1887</v>
      </c>
      <c r="AF15">
        <v>12.106249999999999</v>
      </c>
      <c r="AG15">
        <v>12.530340000000001</v>
      </c>
      <c r="AH15">
        <v>1915</v>
      </c>
      <c r="AI15">
        <v>5.062595</v>
      </c>
      <c r="AJ15">
        <v>5.4502980000000001</v>
      </c>
      <c r="AK15">
        <v>1971</v>
      </c>
      <c r="AL15">
        <v>10.96834</v>
      </c>
      <c r="AM15">
        <v>10.79205</v>
      </c>
      <c r="AN15">
        <v>1881</v>
      </c>
      <c r="AO15">
        <v>10.94706</v>
      </c>
      <c r="AP15">
        <v>11.1144</v>
      </c>
      <c r="AQ15">
        <v>1893</v>
      </c>
      <c r="AR15">
        <v>10.065049999999999</v>
      </c>
      <c r="AS15">
        <v>10.397130000000001</v>
      </c>
    </row>
    <row r="16" spans="1:45">
      <c r="A16">
        <v>1940</v>
      </c>
      <c r="B16">
        <v>1.6292409999999999</v>
      </c>
      <c r="C16">
        <v>2.7243210000000002</v>
      </c>
      <c r="D16">
        <v>1942</v>
      </c>
      <c r="E16">
        <v>7.8872080000000002</v>
      </c>
      <c r="F16">
        <v>7.9179040000000001</v>
      </c>
      <c r="G16">
        <v>1912</v>
      </c>
      <c r="H16">
        <v>13.71237</v>
      </c>
      <c r="I16">
        <v>13.896000000000001</v>
      </c>
      <c r="J16">
        <v>1996</v>
      </c>
      <c r="K16">
        <v>17.601970000000001</v>
      </c>
      <c r="L16">
        <v>17.518439999999998</v>
      </c>
      <c r="M16">
        <v>1914</v>
      </c>
      <c r="N16" t="e">
        <f>NA()</f>
        <v>#N/A</v>
      </c>
      <c r="O16" t="e">
        <f>NA()</f>
        <v>#N/A</v>
      </c>
      <c r="P16">
        <v>2002</v>
      </c>
      <c r="Q16">
        <v>18.884409999999999</v>
      </c>
      <c r="R16">
        <v>19.282330000000002</v>
      </c>
      <c r="S16">
        <v>1995</v>
      </c>
      <c r="T16">
        <v>7.5564280000000004</v>
      </c>
      <c r="U16">
        <v>7.5310350000000001</v>
      </c>
      <c r="V16">
        <v>1993</v>
      </c>
      <c r="W16">
        <v>18.066859999999998</v>
      </c>
      <c r="X16">
        <v>18.189990000000002</v>
      </c>
      <c r="Y16">
        <v>1842</v>
      </c>
      <c r="Z16">
        <v>5.4680600000000004</v>
      </c>
      <c r="AA16" t="e">
        <f>NA()</f>
        <v>#N/A</v>
      </c>
      <c r="AB16">
        <v>1882</v>
      </c>
      <c r="AC16">
        <v>3.688879</v>
      </c>
      <c r="AD16">
        <v>3.5020850000000001</v>
      </c>
      <c r="AE16">
        <v>1888</v>
      </c>
      <c r="AF16">
        <v>12.18075</v>
      </c>
      <c r="AG16">
        <v>12.76145</v>
      </c>
      <c r="AH16">
        <v>1916</v>
      </c>
      <c r="AI16">
        <v>5.5214610000000004</v>
      </c>
      <c r="AJ16">
        <v>5.2795459999999999</v>
      </c>
      <c r="AK16">
        <v>1972</v>
      </c>
      <c r="AL16">
        <v>11.12228</v>
      </c>
      <c r="AM16">
        <v>10.790290000000001</v>
      </c>
      <c r="AN16">
        <v>1882</v>
      </c>
      <c r="AO16">
        <v>10.95745</v>
      </c>
      <c r="AP16">
        <v>11.18125</v>
      </c>
      <c r="AQ16">
        <v>1894</v>
      </c>
      <c r="AR16">
        <v>10.0693</v>
      </c>
      <c r="AS16">
        <v>10.46331</v>
      </c>
    </row>
    <row r="17" spans="1:45">
      <c r="A17">
        <v>1941</v>
      </c>
      <c r="B17">
        <v>2.04122</v>
      </c>
      <c r="C17">
        <v>2.633921</v>
      </c>
      <c r="D17">
        <v>1943</v>
      </c>
      <c r="E17">
        <v>8.013674</v>
      </c>
      <c r="F17">
        <v>7.862552</v>
      </c>
      <c r="G17">
        <v>1913</v>
      </c>
      <c r="H17">
        <v>13.989459999999999</v>
      </c>
      <c r="I17">
        <v>14.0641</v>
      </c>
      <c r="J17">
        <v>1997</v>
      </c>
      <c r="K17">
        <v>17.830089999999998</v>
      </c>
      <c r="L17">
        <v>17.748909999999999</v>
      </c>
      <c r="M17">
        <v>1915</v>
      </c>
      <c r="N17" t="e">
        <f>NA()</f>
        <v>#N/A</v>
      </c>
      <c r="O17" t="e">
        <f>NA()</f>
        <v>#N/A</v>
      </c>
      <c r="P17" t="e">
        <f>NA()</f>
        <v>#N/A</v>
      </c>
      <c r="Q17" t="e">
        <f>NA()</f>
        <v>#N/A</v>
      </c>
      <c r="R17" t="e">
        <f>NA()</f>
        <v>#N/A</v>
      </c>
      <c r="S17">
        <v>1996</v>
      </c>
      <c r="T17">
        <v>7.5791680000000001</v>
      </c>
      <c r="U17">
        <v>7.5991600000000004</v>
      </c>
      <c r="V17">
        <v>1994</v>
      </c>
      <c r="W17">
        <v>18.165790000000001</v>
      </c>
      <c r="X17">
        <v>18.289259999999999</v>
      </c>
      <c r="Y17">
        <v>1843</v>
      </c>
      <c r="Z17">
        <v>5.6058019999999997</v>
      </c>
      <c r="AA17" t="e">
        <f>NA()</f>
        <v>#N/A</v>
      </c>
      <c r="AB17">
        <v>1883</v>
      </c>
      <c r="AC17">
        <v>3.73767</v>
      </c>
      <c r="AD17">
        <v>3.6068790000000002</v>
      </c>
      <c r="AE17">
        <v>1889</v>
      </c>
      <c r="AF17">
        <v>12.264340000000001</v>
      </c>
      <c r="AG17">
        <v>12.865970000000001</v>
      </c>
      <c r="AH17">
        <v>1917</v>
      </c>
      <c r="AI17">
        <v>5.9687080000000003</v>
      </c>
      <c r="AJ17">
        <v>5.6819350000000002</v>
      </c>
      <c r="AK17">
        <v>1973</v>
      </c>
      <c r="AL17">
        <v>11.23231</v>
      </c>
      <c r="AM17">
        <v>10.76022</v>
      </c>
      <c r="AN17">
        <v>1883</v>
      </c>
      <c r="AO17">
        <v>11.07184</v>
      </c>
      <c r="AP17">
        <v>11.25943</v>
      </c>
      <c r="AQ17">
        <v>1895</v>
      </c>
      <c r="AR17">
        <v>9.9102650000000008</v>
      </c>
      <c r="AS17">
        <v>10.46082</v>
      </c>
    </row>
    <row r="18" spans="1:45">
      <c r="A18">
        <v>1942</v>
      </c>
      <c r="B18">
        <v>2.8332130000000002</v>
      </c>
      <c r="C18">
        <v>2.504899</v>
      </c>
      <c r="D18">
        <v>1944</v>
      </c>
      <c r="E18">
        <v>8.2955480000000001</v>
      </c>
      <c r="F18">
        <v>7.9509340000000002</v>
      </c>
      <c r="G18">
        <v>1914</v>
      </c>
      <c r="H18">
        <v>14.324730000000001</v>
      </c>
      <c r="I18">
        <v>14.63382</v>
      </c>
      <c r="J18">
        <v>1998</v>
      </c>
      <c r="K18">
        <v>18.055399999999999</v>
      </c>
      <c r="L18">
        <v>17.97916</v>
      </c>
      <c r="M18">
        <v>1916</v>
      </c>
      <c r="N18" t="e">
        <f>NA()</f>
        <v>#N/A</v>
      </c>
      <c r="O18" t="e">
        <f>NA()</f>
        <v>#N/A</v>
      </c>
      <c r="P18" t="e">
        <f>NA()</f>
        <v>#N/A</v>
      </c>
      <c r="Q18" t="e">
        <f>NA()</f>
        <v>#N/A</v>
      </c>
      <c r="R18" t="e">
        <f>NA()</f>
        <v>#N/A</v>
      </c>
      <c r="S18">
        <v>1997</v>
      </c>
      <c r="T18">
        <v>7.6236420000000003</v>
      </c>
      <c r="U18">
        <v>7.6332589999999998</v>
      </c>
      <c r="V18">
        <v>1995</v>
      </c>
      <c r="W18">
        <v>18.2745</v>
      </c>
      <c r="X18">
        <v>18.398959999999999</v>
      </c>
      <c r="Y18">
        <v>1844</v>
      </c>
      <c r="Z18">
        <v>5.7868969999999997</v>
      </c>
      <c r="AA18" t="e">
        <f>NA()</f>
        <v>#N/A</v>
      </c>
      <c r="AB18">
        <v>1884</v>
      </c>
      <c r="AC18">
        <v>3.7612000000000001</v>
      </c>
      <c r="AD18">
        <v>3.7169829999999999</v>
      </c>
      <c r="AE18">
        <v>1890</v>
      </c>
      <c r="AF18">
        <v>12.3371</v>
      </c>
      <c r="AG18">
        <v>13.04574</v>
      </c>
      <c r="AH18">
        <v>1918</v>
      </c>
      <c r="AI18">
        <v>6.4052290000000003</v>
      </c>
      <c r="AJ18">
        <v>5.6351800000000001</v>
      </c>
      <c r="AK18">
        <v>1974</v>
      </c>
      <c r="AL18">
        <v>11.211589999999999</v>
      </c>
      <c r="AM18">
        <v>10.91675</v>
      </c>
      <c r="AN18">
        <v>1884</v>
      </c>
      <c r="AO18">
        <v>11.0867</v>
      </c>
      <c r="AP18">
        <v>11.33633</v>
      </c>
      <c r="AQ18">
        <v>1896</v>
      </c>
      <c r="AR18">
        <v>9.9785020000000006</v>
      </c>
      <c r="AS18">
        <v>10.51538</v>
      </c>
    </row>
    <row r="19" spans="1:45">
      <c r="A19">
        <v>1943</v>
      </c>
      <c r="B19">
        <v>3.4011969999999998</v>
      </c>
      <c r="C19">
        <v>2.3812890000000002</v>
      </c>
      <c r="D19">
        <v>1945</v>
      </c>
      <c r="E19">
        <v>8.7212759999999996</v>
      </c>
      <c r="F19">
        <v>8.2168170000000007</v>
      </c>
      <c r="G19">
        <v>1915</v>
      </c>
      <c r="H19">
        <v>14.662240000000001</v>
      </c>
      <c r="I19">
        <v>14.79706</v>
      </c>
      <c r="J19">
        <v>1999</v>
      </c>
      <c r="K19">
        <v>18.273340000000001</v>
      </c>
      <c r="L19">
        <v>18.19182</v>
      </c>
      <c r="M19">
        <v>1917</v>
      </c>
      <c r="N19">
        <v>24.49372</v>
      </c>
      <c r="O19">
        <v>24.530670000000001</v>
      </c>
      <c r="P19" t="e">
        <f>NA()</f>
        <v>#N/A</v>
      </c>
      <c r="Q19" t="e">
        <f>NA()</f>
        <v>#N/A</v>
      </c>
      <c r="R19" t="e">
        <f>NA()</f>
        <v>#N/A</v>
      </c>
      <c r="S19">
        <v>1998</v>
      </c>
      <c r="T19">
        <v>7.6231530000000003</v>
      </c>
      <c r="U19">
        <v>7.670693</v>
      </c>
      <c r="V19">
        <v>1996</v>
      </c>
      <c r="W19">
        <v>18.387119999999999</v>
      </c>
      <c r="X19">
        <v>18.49099</v>
      </c>
      <c r="Y19">
        <v>1845</v>
      </c>
      <c r="Z19">
        <v>5.8522020000000001</v>
      </c>
      <c r="AA19" t="e">
        <f>NA()</f>
        <v>#N/A</v>
      </c>
      <c r="AB19">
        <v>1885</v>
      </c>
      <c r="AC19">
        <v>3.7612000000000001</v>
      </c>
      <c r="AD19">
        <v>3.8405580000000001</v>
      </c>
      <c r="AE19">
        <v>1891</v>
      </c>
      <c r="AF19">
        <v>12.384219999999999</v>
      </c>
      <c r="AG19">
        <v>13.168469999999999</v>
      </c>
      <c r="AH19">
        <v>1919</v>
      </c>
      <c r="AI19">
        <v>6.8001699999999996</v>
      </c>
      <c r="AJ19">
        <v>5.8442150000000002</v>
      </c>
      <c r="AK19">
        <v>1975</v>
      </c>
      <c r="AL19">
        <v>11.084250000000001</v>
      </c>
      <c r="AM19">
        <v>11.06827</v>
      </c>
      <c r="AN19">
        <v>1885</v>
      </c>
      <c r="AO19">
        <v>11.181100000000001</v>
      </c>
      <c r="AP19">
        <v>11.41409</v>
      </c>
      <c r="AQ19">
        <v>1897</v>
      </c>
      <c r="AR19">
        <v>9.9159100000000002</v>
      </c>
      <c r="AS19">
        <v>10.516389999999999</v>
      </c>
    </row>
    <row r="20" spans="1:45">
      <c r="A20">
        <v>1944</v>
      </c>
      <c r="B20">
        <v>3.5263610000000001</v>
      </c>
      <c r="C20">
        <v>2.4783230000000001</v>
      </c>
      <c r="D20">
        <v>1946</v>
      </c>
      <c r="E20">
        <v>9.3364440000000002</v>
      </c>
      <c r="F20">
        <v>8.7666280000000008</v>
      </c>
      <c r="G20">
        <v>1916</v>
      </c>
      <c r="H20">
        <v>15.02983</v>
      </c>
      <c r="I20">
        <v>14.597770000000001</v>
      </c>
      <c r="J20">
        <v>2000</v>
      </c>
      <c r="K20">
        <v>18.515989999999999</v>
      </c>
      <c r="L20">
        <v>18.419789999999999</v>
      </c>
      <c r="M20">
        <v>1918</v>
      </c>
      <c r="N20" t="e">
        <f>NA()</f>
        <v>#N/A</v>
      </c>
      <c r="O20" t="e">
        <f>NA()</f>
        <v>#N/A</v>
      </c>
      <c r="P20" t="e">
        <f>NA()</f>
        <v>#N/A</v>
      </c>
      <c r="Q20" t="e">
        <f>NA()</f>
        <v>#N/A</v>
      </c>
      <c r="R20" t="e">
        <f>NA()</f>
        <v>#N/A</v>
      </c>
      <c r="S20">
        <v>1999</v>
      </c>
      <c r="T20">
        <v>7.7007479999999999</v>
      </c>
      <c r="U20">
        <v>7.6906319999999999</v>
      </c>
      <c r="V20">
        <v>1997</v>
      </c>
      <c r="W20">
        <v>18.50686</v>
      </c>
      <c r="X20">
        <v>18.571960000000001</v>
      </c>
      <c r="Y20">
        <v>1846</v>
      </c>
      <c r="Z20">
        <v>6.0038869999999998</v>
      </c>
      <c r="AA20" t="e">
        <f>NA()</f>
        <v>#N/A</v>
      </c>
      <c r="AB20">
        <v>1886</v>
      </c>
      <c r="AC20">
        <v>3.7841900000000002</v>
      </c>
      <c r="AD20">
        <v>3.9178419999999998</v>
      </c>
      <c r="AE20">
        <v>1892</v>
      </c>
      <c r="AF20">
        <v>12.47228</v>
      </c>
      <c r="AG20">
        <v>13.1943</v>
      </c>
      <c r="AH20">
        <v>1920</v>
      </c>
      <c r="AI20">
        <v>7.0103119999999999</v>
      </c>
      <c r="AJ20">
        <v>6.1538930000000001</v>
      </c>
      <c r="AK20">
        <v>1976</v>
      </c>
      <c r="AL20">
        <v>11.19134</v>
      </c>
      <c r="AM20">
        <v>11.027279999999999</v>
      </c>
      <c r="AN20">
        <v>1886</v>
      </c>
      <c r="AO20">
        <v>11.25272</v>
      </c>
      <c r="AP20">
        <v>11.4796</v>
      </c>
      <c r="AQ20">
        <v>1898</v>
      </c>
      <c r="AR20">
        <v>10.00356</v>
      </c>
      <c r="AS20">
        <v>10.54635</v>
      </c>
    </row>
    <row r="21" spans="1:45">
      <c r="A21">
        <v>1945</v>
      </c>
      <c r="B21">
        <v>3.8066629999999999</v>
      </c>
      <c r="C21">
        <v>2.8461729999999998</v>
      </c>
      <c r="D21">
        <v>1947</v>
      </c>
      <c r="E21">
        <v>9.4528160000000003</v>
      </c>
      <c r="F21">
        <v>9.0056510000000003</v>
      </c>
      <c r="G21">
        <v>1917</v>
      </c>
      <c r="H21">
        <v>15.3688</v>
      </c>
      <c r="I21">
        <v>14.930160000000001</v>
      </c>
      <c r="J21">
        <v>2001</v>
      </c>
      <c r="K21">
        <v>18.675319999999999</v>
      </c>
      <c r="L21">
        <v>18.729420000000001</v>
      </c>
      <c r="M21">
        <v>1919</v>
      </c>
      <c r="N21" t="e">
        <f>NA()</f>
        <v>#N/A</v>
      </c>
      <c r="O21" t="e">
        <f>NA()</f>
        <v>#N/A</v>
      </c>
      <c r="P21" t="e">
        <f>NA()</f>
        <v>#N/A</v>
      </c>
      <c r="Q21" t="e">
        <f>NA()</f>
        <v>#N/A</v>
      </c>
      <c r="R21" t="e">
        <f>NA()</f>
        <v>#N/A</v>
      </c>
      <c r="S21">
        <v>2000</v>
      </c>
      <c r="T21">
        <v>7.734559</v>
      </c>
      <c r="U21">
        <v>7.7309859999999997</v>
      </c>
      <c r="V21">
        <v>1998</v>
      </c>
      <c r="W21">
        <v>18.63579</v>
      </c>
      <c r="X21">
        <v>18.652349999999998</v>
      </c>
      <c r="Y21">
        <v>1847</v>
      </c>
      <c r="Z21">
        <v>6.0591229999999996</v>
      </c>
      <c r="AA21" t="e">
        <f>NA()</f>
        <v>#N/A</v>
      </c>
      <c r="AB21">
        <v>1887</v>
      </c>
      <c r="AC21">
        <v>3.8712010000000001</v>
      </c>
      <c r="AD21">
        <v>3.9635090000000002</v>
      </c>
      <c r="AE21">
        <v>1893</v>
      </c>
      <c r="AF21">
        <v>12.491250000000001</v>
      </c>
      <c r="AG21">
        <v>13.471550000000001</v>
      </c>
      <c r="AH21">
        <v>1921</v>
      </c>
      <c r="AI21">
        <v>7.1561769999999996</v>
      </c>
      <c r="AJ21">
        <v>6.5357630000000002</v>
      </c>
      <c r="AK21">
        <v>1977</v>
      </c>
      <c r="AL21">
        <v>11.15943</v>
      </c>
      <c r="AM21">
        <v>11.00544</v>
      </c>
      <c r="AN21">
        <v>1887</v>
      </c>
      <c r="AO21">
        <v>11.4062</v>
      </c>
      <c r="AP21">
        <v>11.53631</v>
      </c>
      <c r="AQ21">
        <v>1899</v>
      </c>
      <c r="AR21">
        <v>10.090170000000001</v>
      </c>
      <c r="AS21">
        <v>10.543799999999999</v>
      </c>
    </row>
    <row r="22" spans="1:45">
      <c r="A22">
        <v>1946</v>
      </c>
      <c r="B22">
        <v>4.3567090000000004</v>
      </c>
      <c r="C22">
        <v>3.644949</v>
      </c>
      <c r="D22">
        <v>1948</v>
      </c>
      <c r="E22">
        <v>9.4466760000000001</v>
      </c>
      <c r="F22">
        <v>9.1566369999999999</v>
      </c>
      <c r="G22">
        <v>1918</v>
      </c>
      <c r="H22">
        <v>15.53021</v>
      </c>
      <c r="I22">
        <v>14.853579999999999</v>
      </c>
      <c r="J22">
        <v>2002</v>
      </c>
      <c r="K22">
        <v>18.76427</v>
      </c>
      <c r="L22">
        <v>19.004999999999999</v>
      </c>
      <c r="M22">
        <v>1920</v>
      </c>
      <c r="N22">
        <v>24.75928</v>
      </c>
      <c r="O22">
        <v>24.745329999999999</v>
      </c>
      <c r="P22" t="e">
        <f>NA()</f>
        <v>#N/A</v>
      </c>
      <c r="Q22" t="e">
        <f>NA()</f>
        <v>#N/A</v>
      </c>
      <c r="R22" t="e">
        <f>NA()</f>
        <v>#N/A</v>
      </c>
      <c r="S22" t="e">
        <f>NA()</f>
        <v>#N/A</v>
      </c>
      <c r="T22" t="e">
        <f>NA()</f>
        <v>#N/A</v>
      </c>
      <c r="U22" t="e">
        <f>NA()</f>
        <v>#N/A</v>
      </c>
      <c r="V22">
        <v>1999</v>
      </c>
      <c r="W22">
        <v>18.76427</v>
      </c>
      <c r="X22">
        <v>18.726369999999999</v>
      </c>
      <c r="Y22">
        <v>1848</v>
      </c>
      <c r="Z22">
        <v>6.1355649999999997</v>
      </c>
      <c r="AA22" t="e">
        <f>NA()</f>
        <v>#N/A</v>
      </c>
      <c r="AB22">
        <v>1888</v>
      </c>
      <c r="AC22">
        <v>3.951244</v>
      </c>
      <c r="AD22">
        <v>4.0955649999999997</v>
      </c>
      <c r="AE22">
        <v>1894</v>
      </c>
      <c r="AF22">
        <v>12.56024</v>
      </c>
      <c r="AG22">
        <v>13.706770000000001</v>
      </c>
      <c r="AH22">
        <v>1922</v>
      </c>
      <c r="AI22">
        <v>7.3588310000000003</v>
      </c>
      <c r="AJ22">
        <v>6.5942809999999996</v>
      </c>
      <c r="AK22">
        <v>1978</v>
      </c>
      <c r="AL22">
        <v>11.235010000000001</v>
      </c>
      <c r="AM22">
        <v>10.942159999999999</v>
      </c>
      <c r="AN22">
        <v>1888</v>
      </c>
      <c r="AO22">
        <v>11.46705</v>
      </c>
      <c r="AP22">
        <v>11.61078</v>
      </c>
      <c r="AQ22">
        <v>1900</v>
      </c>
      <c r="AR22">
        <v>10.184749999999999</v>
      </c>
      <c r="AS22">
        <v>10.56587</v>
      </c>
    </row>
    <row r="23" spans="1:45">
      <c r="A23">
        <v>1947</v>
      </c>
      <c r="B23">
        <v>4.9558270000000002</v>
      </c>
      <c r="C23">
        <v>3.9717199999999999</v>
      </c>
      <c r="D23">
        <v>1949</v>
      </c>
      <c r="E23">
        <v>9.5597290000000008</v>
      </c>
      <c r="F23">
        <v>9.3554030000000008</v>
      </c>
      <c r="G23">
        <v>1919</v>
      </c>
      <c r="H23">
        <v>15.71448</v>
      </c>
      <c r="I23">
        <v>15.01491</v>
      </c>
      <c r="J23" t="e">
        <f>NA()</f>
        <v>#N/A</v>
      </c>
      <c r="K23" t="e">
        <f>NA()</f>
        <v>#N/A</v>
      </c>
      <c r="L23" t="e">
        <f>NA()</f>
        <v>#N/A</v>
      </c>
      <c r="M23">
        <v>1921</v>
      </c>
      <c r="N23">
        <v>24.695440000000001</v>
      </c>
      <c r="O23">
        <v>24.81542</v>
      </c>
      <c r="P23" t="e">
        <f>NA()</f>
        <v>#N/A</v>
      </c>
      <c r="Q23" t="e">
        <f>NA()</f>
        <v>#N/A</v>
      </c>
      <c r="R23" t="e">
        <f>NA()</f>
        <v>#N/A</v>
      </c>
      <c r="S23" t="e">
        <f>NA()</f>
        <v>#N/A</v>
      </c>
      <c r="T23" t="e">
        <f>NA()</f>
        <v>#N/A</v>
      </c>
      <c r="U23" t="e">
        <f>NA()</f>
        <v>#N/A</v>
      </c>
      <c r="V23">
        <v>2000</v>
      </c>
      <c r="W23">
        <v>18.896920000000001</v>
      </c>
      <c r="X23">
        <v>18.804790000000001</v>
      </c>
      <c r="Y23">
        <v>1849</v>
      </c>
      <c r="Z23">
        <v>6.265301</v>
      </c>
      <c r="AA23" t="e">
        <f>NA()</f>
        <v>#N/A</v>
      </c>
      <c r="AB23">
        <v>1889</v>
      </c>
      <c r="AC23">
        <v>4.007333</v>
      </c>
      <c r="AD23">
        <v>4.1028349999999998</v>
      </c>
      <c r="AE23">
        <v>1895</v>
      </c>
      <c r="AF23">
        <v>12.736700000000001</v>
      </c>
      <c r="AG23">
        <v>13.678559999999999</v>
      </c>
      <c r="AH23">
        <v>1923</v>
      </c>
      <c r="AI23">
        <v>7.5224000000000002</v>
      </c>
      <c r="AJ23">
        <v>6.3971220000000004</v>
      </c>
      <c r="AK23">
        <v>1979</v>
      </c>
      <c r="AL23">
        <v>11.23227</v>
      </c>
      <c r="AM23">
        <v>10.950749999999999</v>
      </c>
      <c r="AN23">
        <v>1889</v>
      </c>
      <c r="AO23">
        <v>11.51559</v>
      </c>
      <c r="AP23">
        <v>11.65596</v>
      </c>
      <c r="AQ23">
        <v>1901</v>
      </c>
      <c r="AR23">
        <v>10.263640000000001</v>
      </c>
      <c r="AS23">
        <v>10.553509999999999</v>
      </c>
    </row>
    <row r="24" spans="1:45">
      <c r="A24">
        <v>1948</v>
      </c>
      <c r="B24">
        <v>5.3752779999999998</v>
      </c>
      <c r="C24">
        <v>4.1680299999999999</v>
      </c>
      <c r="D24">
        <v>1950</v>
      </c>
      <c r="E24">
        <v>9.7080199999999994</v>
      </c>
      <c r="F24">
        <v>9.4284520000000001</v>
      </c>
      <c r="G24">
        <v>1920</v>
      </c>
      <c r="H24">
        <v>15.91132</v>
      </c>
      <c r="I24">
        <v>15.272209999999999</v>
      </c>
      <c r="J24" t="e">
        <f>NA()</f>
        <v>#N/A</v>
      </c>
      <c r="K24" t="e">
        <f>NA()</f>
        <v>#N/A</v>
      </c>
      <c r="L24" t="e">
        <f>NA()</f>
        <v>#N/A</v>
      </c>
      <c r="M24">
        <v>1922</v>
      </c>
      <c r="N24">
        <v>24.837409999999998</v>
      </c>
      <c r="O24">
        <v>24.890910000000002</v>
      </c>
      <c r="P24" t="e">
        <f>NA()</f>
        <v>#N/A</v>
      </c>
      <c r="Q24" t="e">
        <f>NA()</f>
        <v>#N/A</v>
      </c>
      <c r="R24" t="e">
        <f>NA()</f>
        <v>#N/A</v>
      </c>
      <c r="S24" t="e">
        <f>NA()</f>
        <v>#N/A</v>
      </c>
      <c r="T24" t="e">
        <f>NA()</f>
        <v>#N/A</v>
      </c>
      <c r="U24" t="e">
        <f>NA()</f>
        <v>#N/A</v>
      </c>
      <c r="V24">
        <v>2001</v>
      </c>
      <c r="W24">
        <v>18.99729</v>
      </c>
      <c r="X24">
        <v>18.909300000000002</v>
      </c>
      <c r="Y24">
        <v>1850</v>
      </c>
      <c r="Z24">
        <v>6.3699009999999996</v>
      </c>
      <c r="AA24">
        <v>5.8190289999999996</v>
      </c>
      <c r="AB24">
        <v>1890</v>
      </c>
      <c r="AC24">
        <v>4.0430510000000002</v>
      </c>
      <c r="AD24">
        <v>4.1920479999999998</v>
      </c>
      <c r="AE24">
        <v>1896</v>
      </c>
      <c r="AF24">
        <v>12.90917</v>
      </c>
      <c r="AG24">
        <v>13.88931</v>
      </c>
      <c r="AH24">
        <v>1924</v>
      </c>
      <c r="AI24">
        <v>7.6857030000000002</v>
      </c>
      <c r="AJ24">
        <v>6.5593339999999998</v>
      </c>
      <c r="AK24">
        <v>1980</v>
      </c>
      <c r="AL24">
        <v>11.02417</v>
      </c>
      <c r="AM24">
        <v>11.07053</v>
      </c>
      <c r="AN24">
        <v>1890</v>
      </c>
      <c r="AO24">
        <v>11.617290000000001</v>
      </c>
      <c r="AP24">
        <v>11.71819</v>
      </c>
      <c r="AQ24">
        <v>1902</v>
      </c>
      <c r="AR24">
        <v>10.389889999999999</v>
      </c>
      <c r="AS24">
        <v>10.58404</v>
      </c>
    </row>
    <row r="25" spans="1:45">
      <c r="A25">
        <v>1949</v>
      </c>
      <c r="B25">
        <v>5.5683449999999999</v>
      </c>
      <c r="C25">
        <v>4.4377199999999997</v>
      </c>
      <c r="D25">
        <v>1951</v>
      </c>
      <c r="E25">
        <v>9.9641120000000001</v>
      </c>
      <c r="F25">
        <v>9.5152079999999994</v>
      </c>
      <c r="G25">
        <v>1921</v>
      </c>
      <c r="H25">
        <v>16.036020000000001</v>
      </c>
      <c r="I25">
        <v>15.59868</v>
      </c>
      <c r="J25" t="e">
        <f>NA()</f>
        <v>#N/A</v>
      </c>
      <c r="K25" t="e">
        <f>NA()</f>
        <v>#N/A</v>
      </c>
      <c r="L25" t="e">
        <f>NA()</f>
        <v>#N/A</v>
      </c>
      <c r="M25">
        <v>1923</v>
      </c>
      <c r="N25">
        <v>24.99156</v>
      </c>
      <c r="O25">
        <v>24.978359999999999</v>
      </c>
      <c r="P25" t="e">
        <f>NA()</f>
        <v>#N/A</v>
      </c>
      <c r="Q25" t="e">
        <f>NA()</f>
        <v>#N/A</v>
      </c>
      <c r="R25" t="e">
        <f>NA()</f>
        <v>#N/A</v>
      </c>
      <c r="S25" t="e">
        <f>NA()</f>
        <v>#N/A</v>
      </c>
      <c r="T25" t="e">
        <f>NA()</f>
        <v>#N/A</v>
      </c>
      <c r="U25" t="e">
        <f>NA()</f>
        <v>#N/A</v>
      </c>
      <c r="V25">
        <v>2002</v>
      </c>
      <c r="W25">
        <v>19.062529999999999</v>
      </c>
      <c r="X25">
        <v>19.00196</v>
      </c>
      <c r="Y25">
        <v>1851</v>
      </c>
      <c r="Z25">
        <v>6.466145</v>
      </c>
      <c r="AA25" t="e">
        <f>NA()</f>
        <v>#N/A</v>
      </c>
      <c r="AB25">
        <v>1891</v>
      </c>
      <c r="AC25">
        <v>4.1108739999999999</v>
      </c>
      <c r="AD25">
        <v>4.2263570000000001</v>
      </c>
      <c r="AE25">
        <v>1897</v>
      </c>
      <c r="AF25">
        <v>13.15192</v>
      </c>
      <c r="AG25">
        <v>13.89428</v>
      </c>
      <c r="AH25">
        <v>1925</v>
      </c>
      <c r="AI25">
        <v>7.8586410000000004</v>
      </c>
      <c r="AJ25">
        <v>6.7241400000000002</v>
      </c>
      <c r="AK25">
        <v>1981</v>
      </c>
      <c r="AL25">
        <v>11.103960000000001</v>
      </c>
      <c r="AM25">
        <v>11.09474</v>
      </c>
      <c r="AN25">
        <v>1891</v>
      </c>
      <c r="AO25">
        <v>11.67844</v>
      </c>
      <c r="AP25">
        <v>11.76727</v>
      </c>
      <c r="AQ25">
        <v>1903</v>
      </c>
      <c r="AR25">
        <v>10.45031</v>
      </c>
      <c r="AS25">
        <v>10.59403</v>
      </c>
    </row>
    <row r="26" spans="1:45">
      <c r="A26">
        <v>1950</v>
      </c>
      <c r="B26">
        <v>5.7397929999999997</v>
      </c>
      <c r="C26">
        <v>4.519107</v>
      </c>
      <c r="D26">
        <v>1952</v>
      </c>
      <c r="E26">
        <v>10.13237</v>
      </c>
      <c r="F26">
        <v>9.6560959999999998</v>
      </c>
      <c r="G26">
        <v>1922</v>
      </c>
      <c r="H26">
        <v>16.186129999999999</v>
      </c>
      <c r="I26">
        <v>15.62956</v>
      </c>
      <c r="J26" t="e">
        <f>NA()</f>
        <v>#N/A</v>
      </c>
      <c r="K26" t="e">
        <f>NA()</f>
        <v>#N/A</v>
      </c>
      <c r="L26" t="e">
        <f>NA()</f>
        <v>#N/A</v>
      </c>
      <c r="M26">
        <v>1924</v>
      </c>
      <c r="N26">
        <v>25.052679999999999</v>
      </c>
      <c r="O26">
        <v>25.053319999999999</v>
      </c>
      <c r="P26" t="e">
        <f>NA()</f>
        <v>#N/A</v>
      </c>
      <c r="Q26" t="e">
        <f>NA()</f>
        <v>#N/A</v>
      </c>
      <c r="R26" t="e">
        <f>NA()</f>
        <v>#N/A</v>
      </c>
      <c r="S26" t="e">
        <f>NA()</f>
        <v>#N/A</v>
      </c>
      <c r="T26" t="e">
        <f>NA()</f>
        <v>#N/A</v>
      </c>
      <c r="U26" t="e">
        <f>NA()</f>
        <v>#N/A</v>
      </c>
      <c r="V26" t="e">
        <f>NA()</f>
        <v>#N/A</v>
      </c>
      <c r="W26" t="e">
        <f>NA()</f>
        <v>#N/A</v>
      </c>
      <c r="X26" t="e">
        <f>NA()</f>
        <v>#N/A</v>
      </c>
      <c r="Y26">
        <v>1852</v>
      </c>
      <c r="Z26">
        <v>6.4052290000000003</v>
      </c>
      <c r="AA26" t="e">
        <f>NA()</f>
        <v>#N/A</v>
      </c>
      <c r="AB26">
        <v>1892</v>
      </c>
      <c r="AC26">
        <v>4.1588830000000003</v>
      </c>
      <c r="AD26">
        <v>4.1641589999999997</v>
      </c>
      <c r="AE26">
        <v>1898</v>
      </c>
      <c r="AF26">
        <v>13.431319999999999</v>
      </c>
      <c r="AG26">
        <v>14.02318</v>
      </c>
      <c r="AH26">
        <v>1926</v>
      </c>
      <c r="AI26">
        <v>7.9834399999999999</v>
      </c>
      <c r="AJ26">
        <v>6.7250810000000003</v>
      </c>
      <c r="AK26">
        <v>1982</v>
      </c>
      <c r="AL26">
        <v>10.623860000000001</v>
      </c>
      <c r="AM26">
        <v>11.262829999999999</v>
      </c>
      <c r="AN26">
        <v>1892</v>
      </c>
      <c r="AO26">
        <v>11.767569999999999</v>
      </c>
      <c r="AP26">
        <v>11.79368</v>
      </c>
      <c r="AQ26">
        <v>1904</v>
      </c>
      <c r="AR26">
        <v>10.497339999999999</v>
      </c>
      <c r="AS26">
        <v>10.63049</v>
      </c>
    </row>
    <row r="27" spans="1:45">
      <c r="A27">
        <v>1951</v>
      </c>
      <c r="B27">
        <v>5.7557419999999997</v>
      </c>
      <c r="C27">
        <v>4.6219760000000001</v>
      </c>
      <c r="D27">
        <v>1953</v>
      </c>
      <c r="E27">
        <v>10.286910000000001</v>
      </c>
      <c r="F27">
        <v>9.7808069999999994</v>
      </c>
      <c r="G27">
        <v>1923</v>
      </c>
      <c r="H27">
        <v>16.399730000000002</v>
      </c>
      <c r="I27">
        <v>15.427429999999999</v>
      </c>
      <c r="J27" t="e">
        <f>NA()</f>
        <v>#N/A</v>
      </c>
      <c r="K27" t="e">
        <f>NA()</f>
        <v>#N/A</v>
      </c>
      <c r="L27" t="e">
        <f>NA()</f>
        <v>#N/A</v>
      </c>
      <c r="M27">
        <v>1925</v>
      </c>
      <c r="N27">
        <v>25.162379999999999</v>
      </c>
      <c r="O27">
        <v>25.12294</v>
      </c>
      <c r="P27" t="e">
        <f>NA()</f>
        <v>#N/A</v>
      </c>
      <c r="Q27" t="e">
        <f>NA()</f>
        <v>#N/A</v>
      </c>
      <c r="R27" t="e">
        <f>NA()</f>
        <v>#N/A</v>
      </c>
      <c r="S27" t="e">
        <f>NA()</f>
        <v>#N/A</v>
      </c>
      <c r="T27" t="e">
        <f>NA()</f>
        <v>#N/A</v>
      </c>
      <c r="U27" t="e">
        <f>NA()</f>
        <v>#N/A</v>
      </c>
      <c r="V27" t="e">
        <f>NA()</f>
        <v>#N/A</v>
      </c>
      <c r="W27" t="e">
        <f>NA()</f>
        <v>#N/A</v>
      </c>
      <c r="X27" t="e">
        <f>NA()</f>
        <v>#N/A</v>
      </c>
      <c r="Y27">
        <v>1853</v>
      </c>
      <c r="Z27">
        <v>6.517671</v>
      </c>
      <c r="AA27" t="e">
        <f>NA()</f>
        <v>#N/A</v>
      </c>
      <c r="AB27">
        <v>1893</v>
      </c>
      <c r="AC27">
        <v>4.2341069999999998</v>
      </c>
      <c r="AD27">
        <v>4.3633879999999996</v>
      </c>
      <c r="AE27">
        <v>1899</v>
      </c>
      <c r="AF27">
        <v>13.820499999999999</v>
      </c>
      <c r="AG27">
        <v>14.02876</v>
      </c>
      <c r="AH27">
        <v>1927</v>
      </c>
      <c r="AI27">
        <v>8.0423779999999994</v>
      </c>
      <c r="AJ27">
        <v>6.9255019999999998</v>
      </c>
      <c r="AK27">
        <v>1983</v>
      </c>
      <c r="AL27">
        <v>10.762549999999999</v>
      </c>
      <c r="AM27">
        <v>11.22072</v>
      </c>
      <c r="AN27">
        <v>1893</v>
      </c>
      <c r="AO27">
        <v>11.82774</v>
      </c>
      <c r="AP27">
        <v>11.87749</v>
      </c>
      <c r="AQ27">
        <v>1905</v>
      </c>
      <c r="AR27">
        <v>10.579459999999999</v>
      </c>
      <c r="AS27">
        <v>10.6295</v>
      </c>
    </row>
    <row r="28" spans="1:45">
      <c r="A28">
        <v>1952</v>
      </c>
      <c r="B28">
        <v>5.8493250000000003</v>
      </c>
      <c r="C28">
        <v>4.8073810000000003</v>
      </c>
      <c r="D28">
        <v>1954</v>
      </c>
      <c r="E28">
        <v>10.409459999999999</v>
      </c>
      <c r="F28">
        <v>9.9847629999999992</v>
      </c>
      <c r="G28">
        <v>1924</v>
      </c>
      <c r="H28">
        <v>16.552209999999999</v>
      </c>
      <c r="I28">
        <v>15.557230000000001</v>
      </c>
      <c r="J28" t="e">
        <f>NA()</f>
        <v>#N/A</v>
      </c>
      <c r="K28" t="e">
        <f>NA()</f>
        <v>#N/A</v>
      </c>
      <c r="L28" t="e">
        <f>NA()</f>
        <v>#N/A</v>
      </c>
      <c r="M28">
        <v>1926</v>
      </c>
      <c r="N28">
        <v>25.269749999999998</v>
      </c>
      <c r="O28">
        <v>25.196380000000001</v>
      </c>
      <c r="P28" t="e">
        <f>NA()</f>
        <v>#N/A</v>
      </c>
      <c r="Q28" t="e">
        <f>NA()</f>
        <v>#N/A</v>
      </c>
      <c r="R28" t="e">
        <f>NA()</f>
        <v>#N/A</v>
      </c>
      <c r="S28" t="e">
        <f>NA()</f>
        <v>#N/A</v>
      </c>
      <c r="T28" t="e">
        <f>NA()</f>
        <v>#N/A</v>
      </c>
      <c r="U28" t="e">
        <f>NA()</f>
        <v>#N/A</v>
      </c>
      <c r="V28" t="e">
        <f>NA()</f>
        <v>#N/A</v>
      </c>
      <c r="W28" t="e">
        <f>NA()</f>
        <v>#N/A</v>
      </c>
      <c r="X28" t="e">
        <f>NA()</f>
        <v>#N/A</v>
      </c>
      <c r="Y28">
        <v>1854</v>
      </c>
      <c r="Z28">
        <v>6.6463900000000002</v>
      </c>
      <c r="AA28" t="e">
        <f>NA()</f>
        <v>#N/A</v>
      </c>
      <c r="AB28">
        <v>1894</v>
      </c>
      <c r="AC28">
        <v>4.1108739999999999</v>
      </c>
      <c r="AD28">
        <v>4.5217419999999997</v>
      </c>
      <c r="AE28">
        <v>1900</v>
      </c>
      <c r="AF28">
        <v>14.120050000000001</v>
      </c>
      <c r="AG28">
        <v>14.139659999999999</v>
      </c>
      <c r="AH28">
        <v>1928</v>
      </c>
      <c r="AI28">
        <v>8.1095260000000007</v>
      </c>
      <c r="AJ28">
        <v>7.1098189999999999</v>
      </c>
      <c r="AK28">
        <v>1984</v>
      </c>
      <c r="AL28">
        <v>10.77727</v>
      </c>
      <c r="AM28">
        <v>11.073869999999999</v>
      </c>
      <c r="AN28">
        <v>1894</v>
      </c>
      <c r="AO28">
        <v>11.669930000000001</v>
      </c>
      <c r="AP28">
        <v>11.951230000000001</v>
      </c>
      <c r="AQ28">
        <v>1906</v>
      </c>
      <c r="AR28">
        <v>10.635300000000001</v>
      </c>
      <c r="AS28">
        <v>10.60923</v>
      </c>
    </row>
    <row r="29" spans="1:45">
      <c r="A29">
        <v>1953</v>
      </c>
      <c r="B29">
        <v>5.9348939999999999</v>
      </c>
      <c r="C29">
        <v>4.9694459999999996</v>
      </c>
      <c r="D29">
        <v>1955</v>
      </c>
      <c r="E29">
        <v>10.57132</v>
      </c>
      <c r="F29">
        <v>10.073040000000001</v>
      </c>
      <c r="G29">
        <v>1925</v>
      </c>
      <c r="H29">
        <v>16.67662</v>
      </c>
      <c r="I29">
        <v>15.69036</v>
      </c>
      <c r="J29" t="e">
        <f>NA()</f>
        <v>#N/A</v>
      </c>
      <c r="K29" t="e">
        <f>NA()</f>
        <v>#N/A</v>
      </c>
      <c r="L29" t="e">
        <f>NA()</f>
        <v>#N/A</v>
      </c>
      <c r="M29">
        <v>1927</v>
      </c>
      <c r="N29">
        <v>25.33839</v>
      </c>
      <c r="O29">
        <v>25.26193</v>
      </c>
      <c r="P29" t="e">
        <f>NA()</f>
        <v>#N/A</v>
      </c>
      <c r="Q29" t="e">
        <f>NA()</f>
        <v>#N/A</v>
      </c>
      <c r="R29" t="e">
        <f>NA()</f>
        <v>#N/A</v>
      </c>
      <c r="S29" t="e">
        <f>NA()</f>
        <v>#N/A</v>
      </c>
      <c r="T29" t="e">
        <f>NA()</f>
        <v>#N/A</v>
      </c>
      <c r="U29" t="e">
        <f>NA()</f>
        <v>#N/A</v>
      </c>
      <c r="V29" t="e">
        <f>NA()</f>
        <v>#N/A</v>
      </c>
      <c r="W29" t="e">
        <f>NA()</f>
        <v>#N/A</v>
      </c>
      <c r="X29" t="e">
        <f>NA()</f>
        <v>#N/A</v>
      </c>
      <c r="Y29">
        <v>1855</v>
      </c>
      <c r="Z29">
        <v>6.5117450000000003</v>
      </c>
      <c r="AA29" t="e">
        <f>NA()</f>
        <v>#N/A</v>
      </c>
      <c r="AB29">
        <v>1895</v>
      </c>
      <c r="AC29">
        <v>4.0775379999999997</v>
      </c>
      <c r="AD29">
        <v>4.4110740000000002</v>
      </c>
      <c r="AE29">
        <v>1901</v>
      </c>
      <c r="AF29">
        <v>14.40385</v>
      </c>
      <c r="AG29">
        <v>14.11049</v>
      </c>
      <c r="AH29">
        <v>1929</v>
      </c>
      <c r="AI29">
        <v>8.1842349999999993</v>
      </c>
      <c r="AJ29">
        <v>7.0996379999999997</v>
      </c>
      <c r="AK29">
        <v>1985</v>
      </c>
      <c r="AL29">
        <v>10.75939</v>
      </c>
      <c r="AM29">
        <v>11.035019999999999</v>
      </c>
      <c r="AN29">
        <v>1895</v>
      </c>
      <c r="AO29">
        <v>11.72804</v>
      </c>
      <c r="AP29">
        <v>11.963979999999999</v>
      </c>
      <c r="AQ29">
        <v>1907</v>
      </c>
      <c r="AR29">
        <v>10.73189</v>
      </c>
      <c r="AS29">
        <v>10.628819999999999</v>
      </c>
    </row>
    <row r="30" spans="1:45">
      <c r="A30">
        <v>1954</v>
      </c>
      <c r="B30">
        <v>6.0014149999999997</v>
      </c>
      <c r="C30">
        <v>5.2513449999999997</v>
      </c>
      <c r="D30">
        <v>1956</v>
      </c>
      <c r="E30">
        <v>10.69195</v>
      </c>
      <c r="F30">
        <v>10.234500000000001</v>
      </c>
      <c r="G30">
        <v>1926</v>
      </c>
      <c r="H30">
        <v>16.773959999999999</v>
      </c>
      <c r="I30">
        <v>15.6739</v>
      </c>
      <c r="J30" t="e">
        <f>NA()</f>
        <v>#N/A</v>
      </c>
      <c r="K30" t="e">
        <f>NA()</f>
        <v>#N/A</v>
      </c>
      <c r="L30" t="e">
        <f>NA()</f>
        <v>#N/A</v>
      </c>
      <c r="M30">
        <v>1928</v>
      </c>
      <c r="N30">
        <v>25.4054</v>
      </c>
      <c r="O30">
        <v>25.325690000000002</v>
      </c>
      <c r="P30" t="e">
        <f>NA()</f>
        <v>#N/A</v>
      </c>
      <c r="Q30" t="e">
        <f>NA()</f>
        <v>#N/A</v>
      </c>
      <c r="R30" t="e">
        <f>NA()</f>
        <v>#N/A</v>
      </c>
      <c r="S30" t="e">
        <f>NA()</f>
        <v>#N/A</v>
      </c>
      <c r="T30" t="e">
        <f>NA()</f>
        <v>#N/A</v>
      </c>
      <c r="U30" t="e">
        <f>NA()</f>
        <v>#N/A</v>
      </c>
      <c r="V30" t="e">
        <f>NA()</f>
        <v>#N/A</v>
      </c>
      <c r="W30" t="e">
        <f>NA()</f>
        <v>#N/A</v>
      </c>
      <c r="X30" t="e">
        <f>NA()</f>
        <v>#N/A</v>
      </c>
      <c r="Y30">
        <v>1856</v>
      </c>
      <c r="Z30">
        <v>6.559615</v>
      </c>
      <c r="AA30" t="e">
        <f>NA()</f>
        <v>#N/A</v>
      </c>
      <c r="AB30">
        <v>1896</v>
      </c>
      <c r="AC30">
        <v>4.1108739999999999</v>
      </c>
      <c r="AD30">
        <v>4.5480770000000001</v>
      </c>
      <c r="AE30">
        <v>1902</v>
      </c>
      <c r="AF30">
        <v>14.67882</v>
      </c>
      <c r="AG30">
        <v>14.2555</v>
      </c>
      <c r="AH30">
        <v>1930</v>
      </c>
      <c r="AI30">
        <v>8.2201339999999998</v>
      </c>
      <c r="AJ30">
        <v>7.6693170000000004</v>
      </c>
      <c r="AK30">
        <v>1986</v>
      </c>
      <c r="AL30">
        <v>10.67916</v>
      </c>
      <c r="AM30">
        <v>11.00858</v>
      </c>
      <c r="AN30">
        <v>1896</v>
      </c>
      <c r="AO30">
        <v>11.842230000000001</v>
      </c>
      <c r="AP30">
        <v>12.03125</v>
      </c>
      <c r="AQ30">
        <v>1908</v>
      </c>
      <c r="AR30">
        <v>10.779960000000001</v>
      </c>
      <c r="AS30">
        <v>10.694850000000001</v>
      </c>
    </row>
    <row r="31" spans="1:45">
      <c r="A31">
        <v>1955</v>
      </c>
      <c r="B31">
        <v>6.1654179999999998</v>
      </c>
      <c r="C31">
        <v>5.3592209999999998</v>
      </c>
      <c r="D31">
        <v>1957</v>
      </c>
      <c r="E31">
        <v>10.81978</v>
      </c>
      <c r="F31">
        <v>10.396409999999999</v>
      </c>
      <c r="G31">
        <v>1927</v>
      </c>
      <c r="H31">
        <v>16.82085</v>
      </c>
      <c r="I31">
        <v>15.841799999999999</v>
      </c>
      <c r="J31" t="e">
        <f>NA()</f>
        <v>#N/A</v>
      </c>
      <c r="K31" t="e">
        <f>NA()</f>
        <v>#N/A</v>
      </c>
      <c r="L31" t="e">
        <f>NA()</f>
        <v>#N/A</v>
      </c>
      <c r="M31">
        <v>1929</v>
      </c>
      <c r="N31">
        <v>25.485440000000001</v>
      </c>
      <c r="O31">
        <v>25.394369999999999</v>
      </c>
      <c r="P31" t="e">
        <f>NA()</f>
        <v>#N/A</v>
      </c>
      <c r="Q31" t="e">
        <f>NA()</f>
        <v>#N/A</v>
      </c>
      <c r="R31" t="e">
        <f>NA()</f>
        <v>#N/A</v>
      </c>
      <c r="S31" t="e">
        <f>NA()</f>
        <v>#N/A</v>
      </c>
      <c r="T31" t="e">
        <f>NA()</f>
        <v>#N/A</v>
      </c>
      <c r="U31" t="e">
        <f>NA()</f>
        <v>#N/A</v>
      </c>
      <c r="V31" t="e">
        <f>NA()</f>
        <v>#N/A</v>
      </c>
      <c r="W31" t="e">
        <f>NA()</f>
        <v>#N/A</v>
      </c>
      <c r="X31" t="e">
        <f>NA()</f>
        <v>#N/A</v>
      </c>
      <c r="Y31">
        <v>1857</v>
      </c>
      <c r="Z31">
        <v>6.5916740000000003</v>
      </c>
      <c r="AA31" t="e">
        <f>NA()</f>
        <v>#N/A</v>
      </c>
      <c r="AB31">
        <v>1897</v>
      </c>
      <c r="AC31">
        <v>4.0775379999999997</v>
      </c>
      <c r="AD31">
        <v>4.474907</v>
      </c>
      <c r="AE31">
        <v>1903</v>
      </c>
      <c r="AF31">
        <v>14.84834</v>
      </c>
      <c r="AG31">
        <v>14.327</v>
      </c>
      <c r="AH31">
        <v>1931</v>
      </c>
      <c r="AI31">
        <v>8.2155480000000001</v>
      </c>
      <c r="AJ31">
        <v>8.1675789999999999</v>
      </c>
      <c r="AK31">
        <v>1987</v>
      </c>
      <c r="AL31">
        <v>10.771089999999999</v>
      </c>
      <c r="AM31">
        <v>10.97626</v>
      </c>
      <c r="AN31">
        <v>1897</v>
      </c>
      <c r="AO31">
        <v>11.842230000000001</v>
      </c>
      <c r="AP31">
        <v>12.050789999999999</v>
      </c>
      <c r="AQ31">
        <v>1909</v>
      </c>
      <c r="AR31">
        <v>10.78083</v>
      </c>
      <c r="AS31">
        <v>10.670159999999999</v>
      </c>
    </row>
    <row r="32" spans="1:45">
      <c r="A32">
        <v>1956</v>
      </c>
      <c r="B32">
        <v>6.270988</v>
      </c>
      <c r="C32">
        <v>5.5781150000000004</v>
      </c>
      <c r="D32">
        <v>1958</v>
      </c>
      <c r="E32">
        <v>10.83958</v>
      </c>
      <c r="F32">
        <v>10.59731</v>
      </c>
      <c r="G32">
        <v>1928</v>
      </c>
      <c r="H32">
        <v>16.877120000000001</v>
      </c>
      <c r="I32">
        <v>15.995649999999999</v>
      </c>
      <c r="J32" t="e">
        <f>NA()</f>
        <v>#N/A</v>
      </c>
      <c r="K32" t="e">
        <f>NA()</f>
        <v>#N/A</v>
      </c>
      <c r="L32" t="e">
        <f>NA()</f>
        <v>#N/A</v>
      </c>
      <c r="M32">
        <v>1930</v>
      </c>
      <c r="N32">
        <v>25.4682</v>
      </c>
      <c r="O32">
        <v>25.441590000000001</v>
      </c>
      <c r="P32" t="e">
        <f>NA()</f>
        <v>#N/A</v>
      </c>
      <c r="Q32" t="e">
        <f>NA()</f>
        <v>#N/A</v>
      </c>
      <c r="R32" t="e">
        <f>NA()</f>
        <v>#N/A</v>
      </c>
      <c r="S32" t="e">
        <f>NA()</f>
        <v>#N/A</v>
      </c>
      <c r="T32" t="e">
        <f>NA()</f>
        <v>#N/A</v>
      </c>
      <c r="U32" t="e">
        <f>NA()</f>
        <v>#N/A</v>
      </c>
      <c r="V32" t="e">
        <f>NA()</f>
        <v>#N/A</v>
      </c>
      <c r="W32" t="e">
        <f>NA()</f>
        <v>#N/A</v>
      </c>
      <c r="X32" t="e">
        <f>NA()</f>
        <v>#N/A</v>
      </c>
      <c r="Y32">
        <v>1858</v>
      </c>
      <c r="Z32">
        <v>6.6437900000000001</v>
      </c>
      <c r="AA32" t="e">
        <f>NA()</f>
        <v>#N/A</v>
      </c>
      <c r="AB32">
        <v>1898</v>
      </c>
      <c r="AC32">
        <v>4.1588830000000003</v>
      </c>
      <c r="AD32">
        <v>4.530659</v>
      </c>
      <c r="AE32">
        <v>1904</v>
      </c>
      <c r="AF32">
        <v>15.025370000000001</v>
      </c>
      <c r="AG32">
        <v>14.50686</v>
      </c>
      <c r="AH32">
        <v>1932</v>
      </c>
      <c r="AI32">
        <v>8.1576570000000004</v>
      </c>
      <c r="AJ32">
        <v>8.8903850000000002</v>
      </c>
      <c r="AK32">
        <v>1988</v>
      </c>
      <c r="AL32">
        <v>10.87011</v>
      </c>
      <c r="AM32">
        <v>10.91958</v>
      </c>
      <c r="AN32">
        <v>1898</v>
      </c>
      <c r="AO32">
        <v>12.02575</v>
      </c>
      <c r="AP32">
        <v>12.098409999999999</v>
      </c>
      <c r="AQ32">
        <v>1910</v>
      </c>
      <c r="AR32">
        <v>10.88603</v>
      </c>
      <c r="AS32">
        <v>10.69361</v>
      </c>
    </row>
    <row r="33" spans="1:45">
      <c r="A33">
        <v>1957</v>
      </c>
      <c r="B33">
        <v>6.3099179999999997</v>
      </c>
      <c r="C33">
        <v>5.798076</v>
      </c>
      <c r="D33">
        <v>1959</v>
      </c>
      <c r="E33">
        <v>10.985290000000001</v>
      </c>
      <c r="F33">
        <v>10.672319999999999</v>
      </c>
      <c r="G33">
        <v>1929</v>
      </c>
      <c r="H33">
        <v>16.956250000000001</v>
      </c>
      <c r="I33">
        <v>15.97139</v>
      </c>
      <c r="J33" t="e">
        <f>NA()</f>
        <v>#N/A</v>
      </c>
      <c r="K33" t="e">
        <f>NA()</f>
        <v>#N/A</v>
      </c>
      <c r="L33" t="e">
        <f>NA()</f>
        <v>#N/A</v>
      </c>
      <c r="M33">
        <v>1931</v>
      </c>
      <c r="N33">
        <v>25.41461</v>
      </c>
      <c r="O33">
        <v>25.487020000000001</v>
      </c>
      <c r="P33" t="e">
        <f>NA()</f>
        <v>#N/A</v>
      </c>
      <c r="Q33" t="e">
        <f>NA()</f>
        <v>#N/A</v>
      </c>
      <c r="R33" t="e">
        <f>NA()</f>
        <v>#N/A</v>
      </c>
      <c r="S33" t="e">
        <f>NA()</f>
        <v>#N/A</v>
      </c>
      <c r="T33" t="e">
        <f>NA()</f>
        <v>#N/A</v>
      </c>
      <c r="U33" t="e">
        <f>NA()</f>
        <v>#N/A</v>
      </c>
      <c r="V33" t="e">
        <f>NA()</f>
        <v>#N/A</v>
      </c>
      <c r="W33" t="e">
        <f>NA()</f>
        <v>#N/A</v>
      </c>
      <c r="X33" t="e">
        <f>NA()</f>
        <v>#N/A</v>
      </c>
      <c r="Y33">
        <v>1859</v>
      </c>
      <c r="Z33">
        <v>6.7661910000000001</v>
      </c>
      <c r="AA33" t="e">
        <f>NA()</f>
        <v>#N/A</v>
      </c>
      <c r="AB33">
        <v>1899</v>
      </c>
      <c r="AC33">
        <v>4.143135</v>
      </c>
      <c r="AD33">
        <v>4.4607409999999996</v>
      </c>
      <c r="AE33">
        <v>1905</v>
      </c>
      <c r="AF33">
        <v>15.23306</v>
      </c>
      <c r="AG33">
        <v>14.53633</v>
      </c>
      <c r="AH33">
        <v>1933</v>
      </c>
      <c r="AI33">
        <v>8.1610899999999997</v>
      </c>
      <c r="AJ33">
        <v>9.1525049999999997</v>
      </c>
      <c r="AK33">
        <v>1989</v>
      </c>
      <c r="AL33">
        <v>10.876569999999999</v>
      </c>
      <c r="AM33">
        <v>10.886810000000001</v>
      </c>
      <c r="AN33">
        <v>1899</v>
      </c>
      <c r="AO33">
        <v>12.106249999999999</v>
      </c>
      <c r="AP33">
        <v>12.11727</v>
      </c>
      <c r="AQ33">
        <v>1911</v>
      </c>
      <c r="AR33">
        <v>10.91239</v>
      </c>
      <c r="AS33">
        <v>10.69886</v>
      </c>
    </row>
    <row r="34" spans="1:45">
      <c r="A34">
        <v>1958</v>
      </c>
      <c r="B34">
        <v>6.4377519999999997</v>
      </c>
      <c r="C34">
        <v>6.0780820000000002</v>
      </c>
      <c r="D34">
        <v>1960</v>
      </c>
      <c r="E34">
        <v>11.050890000000001</v>
      </c>
      <c r="F34">
        <v>10.8156</v>
      </c>
      <c r="G34">
        <v>1930</v>
      </c>
      <c r="H34">
        <v>16.952529999999999</v>
      </c>
      <c r="I34">
        <v>16.480810000000002</v>
      </c>
      <c r="J34" t="e">
        <f>NA()</f>
        <v>#N/A</v>
      </c>
      <c r="K34" t="e">
        <f>NA()</f>
        <v>#N/A</v>
      </c>
      <c r="L34" t="e">
        <f>NA()</f>
        <v>#N/A</v>
      </c>
      <c r="M34">
        <v>1932</v>
      </c>
      <c r="N34">
        <v>25.323419999999999</v>
      </c>
      <c r="O34">
        <v>25.522010000000002</v>
      </c>
      <c r="P34" t="e">
        <f>NA()</f>
        <v>#N/A</v>
      </c>
      <c r="Q34" t="e">
        <f>NA()</f>
        <v>#N/A</v>
      </c>
      <c r="R34" t="e">
        <f>NA()</f>
        <v>#N/A</v>
      </c>
      <c r="S34" t="e">
        <f>NA()</f>
        <v>#N/A</v>
      </c>
      <c r="T34" t="e">
        <f>NA()</f>
        <v>#N/A</v>
      </c>
      <c r="U34" t="e">
        <f>NA()</f>
        <v>#N/A</v>
      </c>
      <c r="V34" t="e">
        <f>NA()</f>
        <v>#N/A</v>
      </c>
      <c r="W34" t="e">
        <f>NA()</f>
        <v>#N/A</v>
      </c>
      <c r="X34" t="e">
        <f>NA()</f>
        <v>#N/A</v>
      </c>
      <c r="Y34">
        <v>1860</v>
      </c>
      <c r="Z34">
        <v>6.7765069999999996</v>
      </c>
      <c r="AA34">
        <v>6.412846</v>
      </c>
      <c r="AB34">
        <v>1900</v>
      </c>
      <c r="AC34">
        <v>4.1743870000000003</v>
      </c>
      <c r="AD34">
        <v>4.5003089999999997</v>
      </c>
      <c r="AE34">
        <v>1906</v>
      </c>
      <c r="AF34">
        <v>15.41146</v>
      </c>
      <c r="AG34">
        <v>14.493869999999999</v>
      </c>
      <c r="AH34">
        <v>1934</v>
      </c>
      <c r="AI34">
        <v>8.2206729999999997</v>
      </c>
      <c r="AJ34">
        <v>9.0519680000000005</v>
      </c>
      <c r="AK34">
        <v>1990</v>
      </c>
      <c r="AL34">
        <v>10.878579999999999</v>
      </c>
      <c r="AM34">
        <v>10.916700000000001</v>
      </c>
      <c r="AN34">
        <v>1900</v>
      </c>
      <c r="AO34">
        <v>12.24047</v>
      </c>
      <c r="AP34">
        <v>12.15985</v>
      </c>
      <c r="AQ34">
        <v>1912</v>
      </c>
      <c r="AR34">
        <v>10.910299999999999</v>
      </c>
      <c r="AS34">
        <v>10.69693</v>
      </c>
    </row>
    <row r="35" spans="1:45">
      <c r="A35">
        <v>1959</v>
      </c>
      <c r="B35">
        <v>6.6012300000000002</v>
      </c>
      <c r="C35">
        <v>6.1684780000000003</v>
      </c>
      <c r="D35">
        <v>1961</v>
      </c>
      <c r="E35">
        <v>11.06664</v>
      </c>
      <c r="F35">
        <v>10.961930000000001</v>
      </c>
      <c r="G35">
        <v>1931</v>
      </c>
      <c r="H35">
        <v>16.924389999999999</v>
      </c>
      <c r="I35">
        <v>16.92492</v>
      </c>
      <c r="J35" t="e">
        <f>NA()</f>
        <v>#N/A</v>
      </c>
      <c r="K35" t="e">
        <f>NA()</f>
        <v>#N/A</v>
      </c>
      <c r="L35" t="e">
        <f>NA()</f>
        <v>#N/A</v>
      </c>
      <c r="M35">
        <v>1933</v>
      </c>
      <c r="N35">
        <v>25.357990000000001</v>
      </c>
      <c r="O35">
        <v>25.573450000000001</v>
      </c>
      <c r="P35" t="e">
        <f>NA()</f>
        <v>#N/A</v>
      </c>
      <c r="Q35" t="e">
        <f>NA()</f>
        <v>#N/A</v>
      </c>
      <c r="R35" t="e">
        <f>NA()</f>
        <v>#N/A</v>
      </c>
      <c r="S35" t="e">
        <f>NA()</f>
        <v>#N/A</v>
      </c>
      <c r="T35" t="e">
        <f>NA()</f>
        <v>#N/A</v>
      </c>
      <c r="U35" t="e">
        <f>NA()</f>
        <v>#N/A</v>
      </c>
      <c r="V35" t="e">
        <f>NA()</f>
        <v>#N/A</v>
      </c>
      <c r="W35" t="e">
        <f>NA()</f>
        <v>#N/A</v>
      </c>
      <c r="X35" t="e">
        <f>NA()</f>
        <v>#N/A</v>
      </c>
      <c r="Y35">
        <v>1861</v>
      </c>
      <c r="Z35">
        <v>6.5652650000000001</v>
      </c>
      <c r="AA35" t="e">
        <f>NA()</f>
        <v>#N/A</v>
      </c>
      <c r="AB35">
        <v>1901</v>
      </c>
      <c r="AC35">
        <v>4.2195080000000003</v>
      </c>
      <c r="AD35">
        <v>4.3966649999999996</v>
      </c>
      <c r="AE35">
        <v>1907</v>
      </c>
      <c r="AF35">
        <v>15.626910000000001</v>
      </c>
      <c r="AG35">
        <v>14.61683</v>
      </c>
      <c r="AH35">
        <v>1935</v>
      </c>
      <c r="AI35">
        <v>8.2885340000000003</v>
      </c>
      <c r="AJ35">
        <v>8.9548360000000002</v>
      </c>
      <c r="AK35">
        <v>1991</v>
      </c>
      <c r="AL35" t="e">
        <f>NA()</f>
        <v>#N/A</v>
      </c>
      <c r="AM35" t="e">
        <f>NA()</f>
        <v>#N/A</v>
      </c>
      <c r="AN35">
        <v>1901</v>
      </c>
      <c r="AO35">
        <v>12.27839</v>
      </c>
      <c r="AP35">
        <v>12.17179</v>
      </c>
      <c r="AQ35">
        <v>1913</v>
      </c>
      <c r="AR35">
        <v>10.95576</v>
      </c>
      <c r="AS35">
        <v>10.70365</v>
      </c>
    </row>
    <row r="36" spans="1:45">
      <c r="A36">
        <v>1960</v>
      </c>
      <c r="B36">
        <v>6.7393359999999998</v>
      </c>
      <c r="C36">
        <v>6.3628150000000003</v>
      </c>
      <c r="D36">
        <v>1962</v>
      </c>
      <c r="E36">
        <v>11.15625</v>
      </c>
      <c r="F36">
        <v>11.049989999999999</v>
      </c>
      <c r="G36">
        <v>1932</v>
      </c>
      <c r="H36">
        <v>16.855309999999999</v>
      </c>
      <c r="I36">
        <v>17.575839999999999</v>
      </c>
      <c r="J36" t="e">
        <f>NA()</f>
        <v>#N/A</v>
      </c>
      <c r="K36" t="e">
        <f>NA()</f>
        <v>#N/A</v>
      </c>
      <c r="L36" t="e">
        <f>NA()</f>
        <v>#N/A</v>
      </c>
      <c r="M36">
        <v>1934</v>
      </c>
      <c r="N36">
        <v>25.4328</v>
      </c>
      <c r="O36">
        <v>25.63861</v>
      </c>
      <c r="P36" t="e">
        <f>NA()</f>
        <v>#N/A</v>
      </c>
      <c r="Q36" t="e">
        <f>NA()</f>
        <v>#N/A</v>
      </c>
      <c r="R36" t="e">
        <f>NA()</f>
        <v>#N/A</v>
      </c>
      <c r="S36" t="e">
        <f>NA()</f>
        <v>#N/A</v>
      </c>
      <c r="T36" t="e">
        <f>NA()</f>
        <v>#N/A</v>
      </c>
      <c r="U36" t="e">
        <f>NA()</f>
        <v>#N/A</v>
      </c>
      <c r="V36" t="e">
        <f>NA()</f>
        <v>#N/A</v>
      </c>
      <c r="W36" t="e">
        <f>NA()</f>
        <v>#N/A</v>
      </c>
      <c r="X36" t="e">
        <f>NA()</f>
        <v>#N/A</v>
      </c>
      <c r="Y36">
        <v>1862</v>
      </c>
      <c r="Z36">
        <v>6.3561079999999999</v>
      </c>
      <c r="AA36" t="e">
        <f>NA()</f>
        <v>#N/A</v>
      </c>
      <c r="AB36">
        <v>1902</v>
      </c>
      <c r="AC36">
        <v>4.2626799999999996</v>
      </c>
      <c r="AD36">
        <v>4.4731139999999998</v>
      </c>
      <c r="AE36">
        <v>1908</v>
      </c>
      <c r="AF36">
        <v>15.684850000000001</v>
      </c>
      <c r="AG36">
        <v>14.92441</v>
      </c>
      <c r="AH36">
        <v>1936</v>
      </c>
      <c r="AI36">
        <v>8.3719359999999998</v>
      </c>
      <c r="AJ36">
        <v>8.6291609999999999</v>
      </c>
      <c r="AK36">
        <v>1992</v>
      </c>
      <c r="AL36">
        <v>10.864599999999999</v>
      </c>
      <c r="AM36">
        <v>11.00234</v>
      </c>
      <c r="AN36">
        <v>1902</v>
      </c>
      <c r="AO36">
        <v>12.345829999999999</v>
      </c>
      <c r="AP36">
        <v>12.224159999999999</v>
      </c>
      <c r="AQ36">
        <v>1914</v>
      </c>
      <c r="AR36">
        <v>10.975289999999999</v>
      </c>
      <c r="AS36">
        <v>10.762740000000001</v>
      </c>
    </row>
    <row r="37" spans="1:45">
      <c r="A37">
        <v>1961</v>
      </c>
      <c r="B37">
        <v>6.8875529999999996</v>
      </c>
      <c r="C37">
        <v>6.5617679999999998</v>
      </c>
      <c r="D37">
        <v>1963</v>
      </c>
      <c r="E37">
        <v>11.302199999999999</v>
      </c>
      <c r="F37">
        <v>11.15929</v>
      </c>
      <c r="G37">
        <v>1933</v>
      </c>
      <c r="H37">
        <v>16.84356</v>
      </c>
      <c r="I37">
        <v>17.803850000000001</v>
      </c>
      <c r="J37" t="e">
        <f>NA()</f>
        <v>#N/A</v>
      </c>
      <c r="K37" t="e">
        <f>NA()</f>
        <v>#N/A</v>
      </c>
      <c r="L37" t="e">
        <f>NA()</f>
        <v>#N/A</v>
      </c>
      <c r="M37">
        <v>1935</v>
      </c>
      <c r="N37">
        <v>25.502389999999998</v>
      </c>
      <c r="O37">
        <v>25.70383</v>
      </c>
      <c r="P37" t="e">
        <f>NA()</f>
        <v>#N/A</v>
      </c>
      <c r="Q37" t="e">
        <f>NA()</f>
        <v>#N/A</v>
      </c>
      <c r="R37" t="e">
        <f>NA()</f>
        <v>#N/A</v>
      </c>
      <c r="S37" t="e">
        <f>NA()</f>
        <v>#N/A</v>
      </c>
      <c r="T37" t="e">
        <f>NA()</f>
        <v>#N/A</v>
      </c>
      <c r="U37" t="e">
        <f>NA()</f>
        <v>#N/A</v>
      </c>
      <c r="V37" t="e">
        <f>NA()</f>
        <v>#N/A</v>
      </c>
      <c r="W37" t="e">
        <f>NA()</f>
        <v>#N/A</v>
      </c>
      <c r="X37" t="e">
        <f>NA()</f>
        <v>#N/A</v>
      </c>
      <c r="Y37">
        <v>1863</v>
      </c>
      <c r="Z37">
        <v>6.8855089999999999</v>
      </c>
      <c r="AA37" t="e">
        <f>NA()</f>
        <v>#N/A</v>
      </c>
      <c r="AB37">
        <v>1903</v>
      </c>
      <c r="AC37">
        <v>4.2766659999999996</v>
      </c>
      <c r="AD37">
        <v>4.4747649999999997</v>
      </c>
      <c r="AE37">
        <v>1909</v>
      </c>
      <c r="AF37">
        <v>15.76085</v>
      </c>
      <c r="AG37">
        <v>14.86908</v>
      </c>
      <c r="AH37">
        <v>1937</v>
      </c>
      <c r="AI37">
        <v>8.4320710000000005</v>
      </c>
      <c r="AJ37">
        <v>8.6445109999999996</v>
      </c>
      <c r="AK37">
        <v>1993</v>
      </c>
      <c r="AL37">
        <v>10.89385</v>
      </c>
      <c r="AM37">
        <v>11.00314</v>
      </c>
      <c r="AN37">
        <v>1903</v>
      </c>
      <c r="AO37">
        <v>12.441140000000001</v>
      </c>
      <c r="AP37">
        <v>12.25817</v>
      </c>
      <c r="AQ37">
        <v>1915</v>
      </c>
      <c r="AR37">
        <v>10.89025</v>
      </c>
      <c r="AS37">
        <v>10.76545</v>
      </c>
    </row>
    <row r="38" spans="1:45">
      <c r="A38">
        <v>1962</v>
      </c>
      <c r="B38">
        <v>7.0867380000000004</v>
      </c>
      <c r="C38">
        <v>6.6737159999999998</v>
      </c>
      <c r="D38">
        <v>1964</v>
      </c>
      <c r="E38">
        <v>11.45105</v>
      </c>
      <c r="F38">
        <v>11.24511</v>
      </c>
      <c r="G38">
        <v>1934</v>
      </c>
      <c r="H38">
        <v>16.88561</v>
      </c>
      <c r="I38">
        <v>17.699069999999999</v>
      </c>
      <c r="J38" t="e">
        <f>NA()</f>
        <v>#N/A</v>
      </c>
      <c r="K38" t="e">
        <f>NA()</f>
        <v>#N/A</v>
      </c>
      <c r="L38" t="e">
        <f>NA()</f>
        <v>#N/A</v>
      </c>
      <c r="M38">
        <v>1936</v>
      </c>
      <c r="N38">
        <v>25.635919999999999</v>
      </c>
      <c r="O38">
        <v>25.776800000000001</v>
      </c>
      <c r="P38" t="e">
        <f>NA()</f>
        <v>#N/A</v>
      </c>
      <c r="Q38" t="e">
        <f>NA()</f>
        <v>#N/A</v>
      </c>
      <c r="R38" t="e">
        <f>NA()</f>
        <v>#N/A</v>
      </c>
      <c r="S38" t="e">
        <f>NA()</f>
        <v>#N/A</v>
      </c>
      <c r="T38" t="e">
        <f>NA()</f>
        <v>#N/A</v>
      </c>
      <c r="U38" t="e">
        <f>NA()</f>
        <v>#N/A</v>
      </c>
      <c r="V38" t="e">
        <f>NA()</f>
        <v>#N/A</v>
      </c>
      <c r="W38" t="e">
        <f>NA()</f>
        <v>#N/A</v>
      </c>
      <c r="X38" t="e">
        <f>NA()</f>
        <v>#N/A</v>
      </c>
      <c r="Y38">
        <v>1864</v>
      </c>
      <c r="Z38">
        <v>6.9726059999999999</v>
      </c>
      <c r="AA38" t="e">
        <f>NA()</f>
        <v>#N/A</v>
      </c>
      <c r="AB38">
        <v>1904</v>
      </c>
      <c r="AC38">
        <v>4.2484950000000001</v>
      </c>
      <c r="AD38">
        <v>4.5886189999999996</v>
      </c>
      <c r="AE38">
        <v>1910</v>
      </c>
      <c r="AF38">
        <v>15.84825</v>
      </c>
      <c r="AG38">
        <v>15.005789999999999</v>
      </c>
      <c r="AH38">
        <v>1938</v>
      </c>
      <c r="AI38">
        <v>8.4257349999999995</v>
      </c>
      <c r="AJ38">
        <v>8.9785939999999993</v>
      </c>
      <c r="AK38">
        <v>1994</v>
      </c>
      <c r="AL38">
        <v>10.92169</v>
      </c>
      <c r="AM38">
        <v>10.95336</v>
      </c>
      <c r="AN38">
        <v>1904</v>
      </c>
      <c r="AO38">
        <v>12.449020000000001</v>
      </c>
      <c r="AP38">
        <v>12.317259999999999</v>
      </c>
      <c r="AQ38">
        <v>1916</v>
      </c>
      <c r="AR38">
        <v>10.94519</v>
      </c>
      <c r="AS38">
        <v>10.72138</v>
      </c>
    </row>
    <row r="39" spans="1:45">
      <c r="A39">
        <v>1963</v>
      </c>
      <c r="B39">
        <v>7.1808310000000004</v>
      </c>
      <c r="C39">
        <v>6.8185750000000001</v>
      </c>
      <c r="D39">
        <v>1965</v>
      </c>
      <c r="E39">
        <v>11.617290000000001</v>
      </c>
      <c r="F39">
        <v>11.318059999999999</v>
      </c>
      <c r="G39">
        <v>1935</v>
      </c>
      <c r="H39">
        <v>16.932040000000001</v>
      </c>
      <c r="I39">
        <v>17.59789</v>
      </c>
      <c r="J39" t="e">
        <f>NA()</f>
        <v>#N/A</v>
      </c>
      <c r="K39" t="e">
        <f>NA()</f>
        <v>#N/A</v>
      </c>
      <c r="L39" t="e">
        <f>NA()</f>
        <v>#N/A</v>
      </c>
      <c r="M39">
        <v>1937</v>
      </c>
      <c r="N39">
        <v>25.713699999999999</v>
      </c>
      <c r="O39">
        <v>25.836099999999998</v>
      </c>
      <c r="P39" t="e">
        <f>NA()</f>
        <v>#N/A</v>
      </c>
      <c r="Q39" t="e">
        <f>NA()</f>
        <v>#N/A</v>
      </c>
      <c r="R39" t="e">
        <f>NA()</f>
        <v>#N/A</v>
      </c>
      <c r="S39" t="e">
        <f>NA()</f>
        <v>#N/A</v>
      </c>
      <c r="T39" t="e">
        <f>NA()</f>
        <v>#N/A</v>
      </c>
      <c r="U39" t="e">
        <f>NA()</f>
        <v>#N/A</v>
      </c>
      <c r="V39" t="e">
        <f>NA()</f>
        <v>#N/A</v>
      </c>
      <c r="W39" t="e">
        <f>NA()</f>
        <v>#N/A</v>
      </c>
      <c r="X39" t="e">
        <f>NA()</f>
        <v>#N/A</v>
      </c>
      <c r="Y39">
        <v>1865</v>
      </c>
      <c r="Z39">
        <v>6.9884130000000004</v>
      </c>
      <c r="AA39" t="e">
        <f>NA()</f>
        <v>#N/A</v>
      </c>
      <c r="AB39">
        <v>1905</v>
      </c>
      <c r="AC39">
        <v>4.2341069999999998</v>
      </c>
      <c r="AD39">
        <v>4.548362</v>
      </c>
      <c r="AE39">
        <v>1911</v>
      </c>
      <c r="AF39">
        <v>15.93765</v>
      </c>
      <c r="AG39">
        <v>15.08714</v>
      </c>
      <c r="AH39">
        <v>1939</v>
      </c>
      <c r="AI39">
        <v>8.472823</v>
      </c>
      <c r="AJ39">
        <v>8.8687579999999997</v>
      </c>
      <c r="AK39">
        <v>1995</v>
      </c>
      <c r="AL39">
        <v>10.945880000000001</v>
      </c>
      <c r="AM39">
        <v>10.95074</v>
      </c>
      <c r="AN39">
        <v>1905</v>
      </c>
      <c r="AO39">
        <v>12.51356</v>
      </c>
      <c r="AP39">
        <v>12.34249</v>
      </c>
      <c r="AQ39">
        <v>1917</v>
      </c>
      <c r="AR39">
        <v>11.074960000000001</v>
      </c>
      <c r="AS39">
        <v>10.74666</v>
      </c>
    </row>
    <row r="40" spans="1:45">
      <c r="A40">
        <v>1964</v>
      </c>
      <c r="B40">
        <v>7.4157770000000003</v>
      </c>
      <c r="C40">
        <v>6.9285540000000001</v>
      </c>
      <c r="D40">
        <v>1966</v>
      </c>
      <c r="E40">
        <v>11.767569999999999</v>
      </c>
      <c r="F40">
        <v>11.38533</v>
      </c>
      <c r="G40">
        <v>1936</v>
      </c>
      <c r="H40">
        <v>17.001159999999999</v>
      </c>
      <c r="I40">
        <v>17.287009999999999</v>
      </c>
      <c r="J40" t="e">
        <f>NA()</f>
        <v>#N/A</v>
      </c>
      <c r="K40" t="e">
        <f>NA()</f>
        <v>#N/A</v>
      </c>
      <c r="L40" t="e">
        <f>NA()</f>
        <v>#N/A</v>
      </c>
      <c r="M40">
        <v>1938</v>
      </c>
      <c r="N40">
        <v>25.679089999999999</v>
      </c>
      <c r="O40">
        <v>25.884740000000001</v>
      </c>
      <c r="P40" t="e">
        <f>NA()</f>
        <v>#N/A</v>
      </c>
      <c r="Q40" t="e">
        <f>NA()</f>
        <v>#N/A</v>
      </c>
      <c r="R40" t="e">
        <f>NA()</f>
        <v>#N/A</v>
      </c>
      <c r="S40" t="e">
        <f>NA()</f>
        <v>#N/A</v>
      </c>
      <c r="T40" t="e">
        <f>NA()</f>
        <v>#N/A</v>
      </c>
      <c r="U40" t="e">
        <f>NA()</f>
        <v>#N/A</v>
      </c>
      <c r="V40" t="e">
        <f>NA()</f>
        <v>#N/A</v>
      </c>
      <c r="W40" t="e">
        <f>NA()</f>
        <v>#N/A</v>
      </c>
      <c r="X40" t="e">
        <f>NA()</f>
        <v>#N/A</v>
      </c>
      <c r="Y40">
        <v>1866</v>
      </c>
      <c r="Z40">
        <v>7.0833880000000002</v>
      </c>
      <c r="AA40" t="e">
        <f>NA()</f>
        <v>#N/A</v>
      </c>
      <c r="AB40">
        <v>1906</v>
      </c>
      <c r="AC40">
        <v>4.2904600000000004</v>
      </c>
      <c r="AD40">
        <v>4.4347120000000002</v>
      </c>
      <c r="AE40">
        <v>1912</v>
      </c>
      <c r="AF40">
        <v>15.982279999999999</v>
      </c>
      <c r="AG40">
        <v>15.14221</v>
      </c>
      <c r="AH40">
        <v>1940</v>
      </c>
      <c r="AI40">
        <v>8.5145900000000001</v>
      </c>
      <c r="AJ40">
        <v>8.7662429999999993</v>
      </c>
      <c r="AK40">
        <v>1996</v>
      </c>
      <c r="AL40">
        <v>10.91188</v>
      </c>
      <c r="AM40">
        <v>10.90598</v>
      </c>
      <c r="AN40">
        <v>1906</v>
      </c>
      <c r="AO40">
        <v>12.66033</v>
      </c>
      <c r="AP40">
        <v>12.350390000000001</v>
      </c>
      <c r="AQ40">
        <v>1918</v>
      </c>
      <c r="AR40">
        <v>11.149699999999999</v>
      </c>
      <c r="AS40">
        <v>10.71651</v>
      </c>
    </row>
    <row r="41" spans="1:45">
      <c r="A41">
        <v>1965</v>
      </c>
      <c r="B41">
        <v>7.7182409999999999</v>
      </c>
      <c r="C41">
        <v>7.020092</v>
      </c>
      <c r="D41">
        <v>1967</v>
      </c>
      <c r="E41">
        <v>11.976660000000001</v>
      </c>
      <c r="F41">
        <v>11.5092</v>
      </c>
      <c r="G41">
        <v>1937</v>
      </c>
      <c r="H41">
        <v>17.052890000000001</v>
      </c>
      <c r="I41">
        <v>17.289850000000001</v>
      </c>
      <c r="J41" t="e">
        <f>NA()</f>
        <v>#N/A</v>
      </c>
      <c r="K41" t="e">
        <f>NA()</f>
        <v>#N/A</v>
      </c>
      <c r="L41" t="e">
        <f>NA()</f>
        <v>#N/A</v>
      </c>
      <c r="M41">
        <v>1939</v>
      </c>
      <c r="N41">
        <v>25.804670000000002</v>
      </c>
      <c r="O41">
        <v>25.950209999999998</v>
      </c>
      <c r="P41" t="e">
        <f>NA()</f>
        <v>#N/A</v>
      </c>
      <c r="Q41" t="e">
        <f>NA()</f>
        <v>#N/A</v>
      </c>
      <c r="R41" t="e">
        <f>NA()</f>
        <v>#N/A</v>
      </c>
      <c r="S41" t="e">
        <f>NA()</f>
        <v>#N/A</v>
      </c>
      <c r="T41" t="e">
        <f>NA()</f>
        <v>#N/A</v>
      </c>
      <c r="U41" t="e">
        <f>NA()</f>
        <v>#N/A</v>
      </c>
      <c r="V41" t="e">
        <f>NA()</f>
        <v>#N/A</v>
      </c>
      <c r="W41" t="e">
        <f>NA()</f>
        <v>#N/A</v>
      </c>
      <c r="X41" t="e">
        <f>NA()</f>
        <v>#N/A</v>
      </c>
      <c r="Y41">
        <v>1867</v>
      </c>
      <c r="Z41">
        <v>7.0892429999999997</v>
      </c>
      <c r="AA41" t="e">
        <f>NA()</f>
        <v>#N/A</v>
      </c>
      <c r="AB41">
        <v>1907</v>
      </c>
      <c r="AC41">
        <v>4.3438049999999997</v>
      </c>
      <c r="AD41">
        <v>4.4918500000000003</v>
      </c>
      <c r="AE41">
        <v>1913</v>
      </c>
      <c r="AF41">
        <v>16.071840000000002</v>
      </c>
      <c r="AG41">
        <v>15.220840000000001</v>
      </c>
      <c r="AH41">
        <v>1941</v>
      </c>
      <c r="AI41">
        <v>8.5697860000000006</v>
      </c>
      <c r="AJ41">
        <v>8.3175749999999997</v>
      </c>
      <c r="AK41">
        <v>1997</v>
      </c>
      <c r="AL41">
        <v>10.9221</v>
      </c>
      <c r="AM41">
        <v>10.8368</v>
      </c>
      <c r="AN41">
        <v>1907</v>
      </c>
      <c r="AO41">
        <v>12.751300000000001</v>
      </c>
      <c r="AP41">
        <v>12.395429999999999</v>
      </c>
      <c r="AQ41">
        <v>1919</v>
      </c>
      <c r="AR41">
        <v>11.230270000000001</v>
      </c>
      <c r="AS41">
        <v>10.71219</v>
      </c>
    </row>
    <row r="42" spans="1:45">
      <c r="A42">
        <v>1966</v>
      </c>
      <c r="B42">
        <v>7.8905830000000003</v>
      </c>
      <c r="C42">
        <v>7.103809</v>
      </c>
      <c r="D42">
        <v>1968</v>
      </c>
      <c r="E42">
        <v>12.117240000000001</v>
      </c>
      <c r="F42">
        <v>11.5968</v>
      </c>
      <c r="G42">
        <v>1938</v>
      </c>
      <c r="H42">
        <v>17.044339999999998</v>
      </c>
      <c r="I42">
        <v>17.586079999999999</v>
      </c>
      <c r="J42" t="e">
        <f>NA()</f>
        <v>#N/A</v>
      </c>
      <c r="K42" t="e">
        <f>NA()</f>
        <v>#N/A</v>
      </c>
      <c r="L42" t="e">
        <f>NA()</f>
        <v>#N/A</v>
      </c>
      <c r="M42">
        <v>1940</v>
      </c>
      <c r="N42">
        <v>25.916219999999999</v>
      </c>
      <c r="O42">
        <v>26.01529</v>
      </c>
      <c r="P42" t="e">
        <f>NA()</f>
        <v>#N/A</v>
      </c>
      <c r="Q42" t="e">
        <f>NA()</f>
        <v>#N/A</v>
      </c>
      <c r="R42" t="e">
        <f>NA()</f>
        <v>#N/A</v>
      </c>
      <c r="S42" t="e">
        <f>NA()</f>
        <v>#N/A</v>
      </c>
      <c r="T42" t="e">
        <f>NA()</f>
        <v>#N/A</v>
      </c>
      <c r="U42" t="e">
        <f>NA()</f>
        <v>#N/A</v>
      </c>
      <c r="V42" t="e">
        <f>NA()</f>
        <v>#N/A</v>
      </c>
      <c r="W42" t="e">
        <f>NA()</f>
        <v>#N/A</v>
      </c>
      <c r="X42" t="e">
        <f>NA()</f>
        <v>#N/A</v>
      </c>
      <c r="Y42">
        <v>1868</v>
      </c>
      <c r="Z42">
        <v>7.0066949999999997</v>
      </c>
      <c r="AA42" t="e">
        <f>NA()</f>
        <v>#N/A</v>
      </c>
      <c r="AB42">
        <v>1908</v>
      </c>
      <c r="AC42">
        <v>4.1588830000000003</v>
      </c>
      <c r="AD42">
        <v>4.7394270000000001</v>
      </c>
      <c r="AE42">
        <v>1914</v>
      </c>
      <c r="AF42">
        <v>16.123280000000001</v>
      </c>
      <c r="AG42">
        <v>15.51233</v>
      </c>
      <c r="AH42">
        <v>1942</v>
      </c>
      <c r="AI42">
        <v>8.5233740000000004</v>
      </c>
      <c r="AJ42">
        <v>7.8157259999999997</v>
      </c>
      <c r="AK42">
        <v>1998</v>
      </c>
      <c r="AL42">
        <v>10.89944</v>
      </c>
      <c r="AM42">
        <v>10.77558</v>
      </c>
      <c r="AN42">
        <v>1908</v>
      </c>
      <c r="AO42">
        <v>12.67295</v>
      </c>
      <c r="AP42">
        <v>12.4838</v>
      </c>
      <c r="AQ42">
        <v>1920</v>
      </c>
      <c r="AR42">
        <v>11.241580000000001</v>
      </c>
      <c r="AS42">
        <v>10.727790000000001</v>
      </c>
    </row>
    <row r="43" spans="1:45">
      <c r="A43">
        <v>1967</v>
      </c>
      <c r="B43">
        <v>8.0336580000000009</v>
      </c>
      <c r="C43">
        <v>7.2735760000000003</v>
      </c>
      <c r="D43">
        <v>1969</v>
      </c>
      <c r="E43">
        <v>12.21602</v>
      </c>
      <c r="F43">
        <v>11.70701</v>
      </c>
      <c r="G43">
        <v>1939</v>
      </c>
      <c r="H43">
        <v>17.082260000000002</v>
      </c>
      <c r="I43">
        <v>17.47465</v>
      </c>
      <c r="J43" t="e">
        <f>NA()</f>
        <v>#N/A</v>
      </c>
      <c r="K43" t="e">
        <f>NA()</f>
        <v>#N/A</v>
      </c>
      <c r="L43" t="e">
        <f>NA()</f>
        <v>#N/A</v>
      </c>
      <c r="M43">
        <v>1941</v>
      </c>
      <c r="N43">
        <v>26.0656</v>
      </c>
      <c r="O43">
        <v>26.094580000000001</v>
      </c>
      <c r="P43" t="e">
        <f>NA()</f>
        <v>#N/A</v>
      </c>
      <c r="Q43" t="e">
        <f>NA()</f>
        <v>#N/A</v>
      </c>
      <c r="R43" t="e">
        <f>NA()</f>
        <v>#N/A</v>
      </c>
      <c r="S43" t="e">
        <f>NA()</f>
        <v>#N/A</v>
      </c>
      <c r="T43" t="e">
        <f>NA()</f>
        <v>#N/A</v>
      </c>
      <c r="U43" t="e">
        <f>NA()</f>
        <v>#N/A</v>
      </c>
      <c r="V43" t="e">
        <f>NA()</f>
        <v>#N/A</v>
      </c>
      <c r="W43" t="e">
        <f>NA()</f>
        <v>#N/A</v>
      </c>
      <c r="X43" t="e">
        <f>NA()</f>
        <v>#N/A</v>
      </c>
      <c r="Y43">
        <v>1869</v>
      </c>
      <c r="Z43">
        <v>6.9800760000000004</v>
      </c>
      <c r="AA43" t="e">
        <f>NA()</f>
        <v>#N/A</v>
      </c>
      <c r="AB43">
        <v>1909</v>
      </c>
      <c r="AC43">
        <v>4.2484950000000001</v>
      </c>
      <c r="AD43">
        <v>4.6140290000000004</v>
      </c>
      <c r="AE43">
        <v>1915</v>
      </c>
      <c r="AF43">
        <v>16.169830000000001</v>
      </c>
      <c r="AG43">
        <v>15.59404</v>
      </c>
      <c r="AH43">
        <v>1943</v>
      </c>
      <c r="AI43">
        <v>8.4926960000000005</v>
      </c>
      <c r="AJ43">
        <v>7.3304419999999997</v>
      </c>
      <c r="AK43">
        <v>1999</v>
      </c>
      <c r="AL43">
        <v>10.86599</v>
      </c>
      <c r="AM43">
        <v>10.70321</v>
      </c>
      <c r="AN43">
        <v>1909</v>
      </c>
      <c r="AO43">
        <v>12.67295</v>
      </c>
      <c r="AP43">
        <v>12.488950000000001</v>
      </c>
      <c r="AQ43">
        <v>1921</v>
      </c>
      <c r="AR43">
        <v>11.013400000000001</v>
      </c>
      <c r="AS43">
        <v>10.75779</v>
      </c>
    </row>
    <row r="44" spans="1:45">
      <c r="A44">
        <v>1968</v>
      </c>
      <c r="B44">
        <v>8.2049459999999996</v>
      </c>
      <c r="C44">
        <v>7.3892850000000001</v>
      </c>
      <c r="D44">
        <v>1970</v>
      </c>
      <c r="E44">
        <v>12.264340000000001</v>
      </c>
      <c r="F44">
        <v>11.86562</v>
      </c>
      <c r="G44">
        <v>1940</v>
      </c>
      <c r="H44">
        <v>17.12846</v>
      </c>
      <c r="I44">
        <v>17.370239999999999</v>
      </c>
      <c r="J44" t="e">
        <f>NA()</f>
        <v>#N/A</v>
      </c>
      <c r="K44" t="e">
        <f>NA()</f>
        <v>#N/A</v>
      </c>
      <c r="L44" t="e">
        <f>NA()</f>
        <v>#N/A</v>
      </c>
      <c r="M44">
        <v>1942</v>
      </c>
      <c r="N44">
        <v>26.174299999999999</v>
      </c>
      <c r="O44">
        <v>26.176870000000001</v>
      </c>
      <c r="P44" t="e">
        <f>NA()</f>
        <v>#N/A</v>
      </c>
      <c r="Q44" t="e">
        <f>NA()</f>
        <v>#N/A</v>
      </c>
      <c r="R44" t="e">
        <f>NA()</f>
        <v>#N/A</v>
      </c>
      <c r="S44" t="e">
        <f>NA()</f>
        <v>#N/A</v>
      </c>
      <c r="T44" t="e">
        <f>NA()</f>
        <v>#N/A</v>
      </c>
      <c r="U44" t="e">
        <f>NA()</f>
        <v>#N/A</v>
      </c>
      <c r="V44" t="e">
        <f>NA()</f>
        <v>#N/A</v>
      </c>
      <c r="W44" t="e">
        <f>NA()</f>
        <v>#N/A</v>
      </c>
      <c r="X44" t="e">
        <f>NA()</f>
        <v>#N/A</v>
      </c>
      <c r="Y44">
        <v>1870</v>
      </c>
      <c r="Z44">
        <v>6.9920960000000001</v>
      </c>
      <c r="AA44">
        <v>6.9781950000000004</v>
      </c>
      <c r="AB44">
        <v>1910</v>
      </c>
      <c r="AC44">
        <v>4.3438049999999997</v>
      </c>
      <c r="AD44">
        <v>4.6866190000000003</v>
      </c>
      <c r="AE44">
        <v>1916</v>
      </c>
      <c r="AF44">
        <v>16.235700000000001</v>
      </c>
      <c r="AG44">
        <v>15.490500000000001</v>
      </c>
      <c r="AH44">
        <v>1944</v>
      </c>
      <c r="AI44">
        <v>8.4996399999999994</v>
      </c>
      <c r="AJ44">
        <v>7.217657</v>
      </c>
      <c r="AK44">
        <v>2000</v>
      </c>
      <c r="AL44">
        <v>10.89587</v>
      </c>
      <c r="AM44">
        <v>10.65279</v>
      </c>
      <c r="AN44">
        <v>1910</v>
      </c>
      <c r="AO44">
        <v>12.826650000000001</v>
      </c>
      <c r="AP44">
        <v>12.53891</v>
      </c>
      <c r="AQ44">
        <v>1922</v>
      </c>
      <c r="AR44">
        <v>10.961830000000001</v>
      </c>
      <c r="AS44">
        <v>10.74489</v>
      </c>
    </row>
    <row r="45" spans="1:45">
      <c r="A45">
        <v>1969</v>
      </c>
      <c r="B45">
        <v>8.3344719999999999</v>
      </c>
      <c r="C45">
        <v>7.5394629999999996</v>
      </c>
      <c r="D45">
        <v>1971</v>
      </c>
      <c r="E45">
        <v>12.292249999999999</v>
      </c>
      <c r="F45">
        <v>11.981909999999999</v>
      </c>
      <c r="G45">
        <v>1941</v>
      </c>
      <c r="H45">
        <v>17.2041</v>
      </c>
      <c r="I45">
        <v>16.948060000000002</v>
      </c>
      <c r="J45" t="e">
        <f>NA()</f>
        <v>#N/A</v>
      </c>
      <c r="K45" t="e">
        <f>NA()</f>
        <v>#N/A</v>
      </c>
      <c r="L45" t="e">
        <f>NA()</f>
        <v>#N/A</v>
      </c>
      <c r="M45">
        <v>1943</v>
      </c>
      <c r="N45">
        <v>26.314250000000001</v>
      </c>
      <c r="O45">
        <v>26.261330000000001</v>
      </c>
      <c r="P45" t="e">
        <f>NA()</f>
        <v>#N/A</v>
      </c>
      <c r="Q45" t="e">
        <f>NA()</f>
        <v>#N/A</v>
      </c>
      <c r="R45" t="e">
        <f>NA()</f>
        <v>#N/A</v>
      </c>
      <c r="S45" t="e">
        <f>NA()</f>
        <v>#N/A</v>
      </c>
      <c r="T45" t="e">
        <f>NA()</f>
        <v>#N/A</v>
      </c>
      <c r="U45" t="e">
        <f>NA()</f>
        <v>#N/A</v>
      </c>
      <c r="V45" t="e">
        <f>NA()</f>
        <v>#N/A</v>
      </c>
      <c r="W45" t="e">
        <f>NA()</f>
        <v>#N/A</v>
      </c>
      <c r="X45" t="e">
        <f>NA()</f>
        <v>#N/A</v>
      </c>
      <c r="Y45">
        <v>1871</v>
      </c>
      <c r="Z45">
        <v>7.013916</v>
      </c>
      <c r="AA45">
        <v>7.0143129999999996</v>
      </c>
      <c r="AB45">
        <v>1911</v>
      </c>
      <c r="AC45" t="e">
        <f>NA()</f>
        <v>#N/A</v>
      </c>
      <c r="AD45" t="e">
        <f>NA()</f>
        <v>#N/A</v>
      </c>
      <c r="AE45">
        <v>1917</v>
      </c>
      <c r="AF45">
        <v>16.277229999999999</v>
      </c>
      <c r="AG45">
        <v>15.666040000000001</v>
      </c>
      <c r="AH45">
        <v>1945</v>
      </c>
      <c r="AI45">
        <v>8.5636949999999992</v>
      </c>
      <c r="AJ45">
        <v>7.5584100000000003</v>
      </c>
      <c r="AK45">
        <v>2001</v>
      </c>
      <c r="AL45">
        <v>10.765510000000001</v>
      </c>
      <c r="AM45">
        <v>10.692259999999999</v>
      </c>
      <c r="AN45">
        <v>1911</v>
      </c>
      <c r="AO45">
        <v>12.82396</v>
      </c>
      <c r="AP45">
        <v>12.57198</v>
      </c>
      <c r="AQ45">
        <v>1923</v>
      </c>
      <c r="AR45">
        <v>11.02887</v>
      </c>
      <c r="AS45">
        <v>10.70473</v>
      </c>
    </row>
    <row r="46" spans="1:45">
      <c r="A46">
        <v>1970</v>
      </c>
      <c r="B46" t="e">
        <f>NA()</f>
        <v>#N/A</v>
      </c>
      <c r="C46" t="e">
        <f>NA()</f>
        <v>#N/A</v>
      </c>
      <c r="D46">
        <v>1972</v>
      </c>
      <c r="E46">
        <v>12.40901</v>
      </c>
      <c r="F46">
        <v>12.06081</v>
      </c>
      <c r="G46">
        <v>1942</v>
      </c>
      <c r="H46">
        <v>17.146750000000001</v>
      </c>
      <c r="I46">
        <v>16.477340000000002</v>
      </c>
      <c r="J46" t="e">
        <f>NA()</f>
        <v>#N/A</v>
      </c>
      <c r="K46" t="e">
        <f>NA()</f>
        <v>#N/A</v>
      </c>
      <c r="L46" t="e">
        <f>NA()</f>
        <v>#N/A</v>
      </c>
      <c r="M46">
        <v>1944</v>
      </c>
      <c r="N46">
        <v>26.358059999999998</v>
      </c>
      <c r="O46">
        <v>26.329560000000001</v>
      </c>
      <c r="P46" t="e">
        <f>NA()</f>
        <v>#N/A</v>
      </c>
      <c r="Q46" t="e">
        <f>NA()</f>
        <v>#N/A</v>
      </c>
      <c r="R46" t="e">
        <f>NA()</f>
        <v>#N/A</v>
      </c>
      <c r="S46" t="e">
        <f>NA()</f>
        <v>#N/A</v>
      </c>
      <c r="T46" t="e">
        <f>NA()</f>
        <v>#N/A</v>
      </c>
      <c r="U46" t="e">
        <f>NA()</f>
        <v>#N/A</v>
      </c>
      <c r="V46" t="e">
        <f>NA()</f>
        <v>#N/A</v>
      </c>
      <c r="W46" t="e">
        <f>NA()</f>
        <v>#N/A</v>
      </c>
      <c r="X46" t="e">
        <f>NA()</f>
        <v>#N/A</v>
      </c>
      <c r="Y46">
        <v>1872</v>
      </c>
      <c r="Z46">
        <v>7.052721</v>
      </c>
      <c r="AA46">
        <v>7.065061</v>
      </c>
      <c r="AB46">
        <v>1912</v>
      </c>
      <c r="AC46" t="e">
        <f>NA()</f>
        <v>#N/A</v>
      </c>
      <c r="AD46" t="e">
        <f>NA()</f>
        <v>#N/A</v>
      </c>
      <c r="AE46">
        <v>1918</v>
      </c>
      <c r="AF46">
        <v>16.307559999999999</v>
      </c>
      <c r="AG46">
        <v>15.630039999999999</v>
      </c>
      <c r="AH46">
        <v>1946</v>
      </c>
      <c r="AI46">
        <v>8.7251829999999995</v>
      </c>
      <c r="AJ46">
        <v>8.615005</v>
      </c>
      <c r="AK46" t="e">
        <f>NA()</f>
        <v>#N/A</v>
      </c>
      <c r="AL46" t="e">
        <f>NA()</f>
        <v>#N/A</v>
      </c>
      <c r="AM46" t="e">
        <f>NA()</f>
        <v>#N/A</v>
      </c>
      <c r="AN46">
        <v>1912</v>
      </c>
      <c r="AO46">
        <v>12.86359</v>
      </c>
      <c r="AP46">
        <v>12.59872</v>
      </c>
      <c r="AQ46">
        <v>1924</v>
      </c>
      <c r="AR46">
        <v>10.97728</v>
      </c>
      <c r="AS46">
        <v>10.709440000000001</v>
      </c>
    </row>
    <row r="47" spans="1:45">
      <c r="A47">
        <v>1971</v>
      </c>
      <c r="B47" t="e">
        <f>NA()</f>
        <v>#N/A</v>
      </c>
      <c r="C47" t="e">
        <f>NA()</f>
        <v>#N/A</v>
      </c>
      <c r="D47">
        <v>1973</v>
      </c>
      <c r="E47">
        <v>12.47228</v>
      </c>
      <c r="F47">
        <v>12.13072</v>
      </c>
      <c r="G47">
        <v>1943</v>
      </c>
      <c r="H47">
        <v>17.07395</v>
      </c>
      <c r="I47">
        <v>16.022300000000001</v>
      </c>
      <c r="J47" t="e">
        <f>NA()</f>
        <v>#N/A</v>
      </c>
      <c r="K47" t="e">
        <f>NA()</f>
        <v>#N/A</v>
      </c>
      <c r="L47" t="e">
        <f>NA()</f>
        <v>#N/A</v>
      </c>
      <c r="M47">
        <v>1945</v>
      </c>
      <c r="N47">
        <v>26.329070000000002</v>
      </c>
      <c r="O47">
        <v>26.379239999999999</v>
      </c>
      <c r="P47" t="e">
        <f>NA()</f>
        <v>#N/A</v>
      </c>
      <c r="Q47" t="e">
        <f>NA()</f>
        <v>#N/A</v>
      </c>
      <c r="R47" t="e">
        <f>NA()</f>
        <v>#N/A</v>
      </c>
      <c r="S47" t="e">
        <f>NA()</f>
        <v>#N/A</v>
      </c>
      <c r="T47" t="e">
        <f>NA()</f>
        <v>#N/A</v>
      </c>
      <c r="U47" t="e">
        <f>NA()</f>
        <v>#N/A</v>
      </c>
      <c r="V47" t="e">
        <f>NA()</f>
        <v>#N/A</v>
      </c>
      <c r="W47" t="e">
        <f>NA()</f>
        <v>#N/A</v>
      </c>
      <c r="X47" t="e">
        <f>NA()</f>
        <v>#N/A</v>
      </c>
      <c r="Y47">
        <v>1873</v>
      </c>
      <c r="Z47">
        <v>7.078341</v>
      </c>
      <c r="AA47">
        <v>7.1023160000000001</v>
      </c>
      <c r="AB47">
        <v>1913</v>
      </c>
      <c r="AC47" t="e">
        <f>NA()</f>
        <v>#N/A</v>
      </c>
      <c r="AD47" t="e">
        <f>NA()</f>
        <v>#N/A</v>
      </c>
      <c r="AE47">
        <v>1919</v>
      </c>
      <c r="AF47">
        <v>16.35538</v>
      </c>
      <c r="AG47">
        <v>15.71692</v>
      </c>
      <c r="AH47">
        <v>1947</v>
      </c>
      <c r="AI47">
        <v>8.8525220000000004</v>
      </c>
      <c r="AJ47">
        <v>8.8948350000000005</v>
      </c>
      <c r="AK47" t="e">
        <f>NA()</f>
        <v>#N/A</v>
      </c>
      <c r="AL47" t="e">
        <f>NA()</f>
        <v>#N/A</v>
      </c>
      <c r="AM47" t="e">
        <f>NA()</f>
        <v>#N/A</v>
      </c>
      <c r="AN47">
        <v>1913</v>
      </c>
      <c r="AO47">
        <v>12.9968</v>
      </c>
      <c r="AP47">
        <v>12.63401</v>
      </c>
      <c r="AQ47">
        <v>1925</v>
      </c>
      <c r="AR47">
        <v>10.971730000000001</v>
      </c>
      <c r="AS47">
        <v>10.711029999999999</v>
      </c>
    </row>
    <row r="48" spans="1:45">
      <c r="A48">
        <v>1972</v>
      </c>
      <c r="B48" t="e">
        <f>NA()</f>
        <v>#N/A</v>
      </c>
      <c r="C48" t="e">
        <f>NA()</f>
        <v>#N/A</v>
      </c>
      <c r="D48">
        <v>1974</v>
      </c>
      <c r="E48">
        <v>12.476100000000001</v>
      </c>
      <c r="F48">
        <v>12.2875</v>
      </c>
      <c r="G48">
        <v>1944</v>
      </c>
      <c r="H48">
        <v>17.05677</v>
      </c>
      <c r="I48">
        <v>15.90964</v>
      </c>
      <c r="J48" t="e">
        <f>NA()</f>
        <v>#N/A</v>
      </c>
      <c r="K48" t="e">
        <f>NA()</f>
        <v>#N/A</v>
      </c>
      <c r="L48" t="e">
        <f>NA()</f>
        <v>#N/A</v>
      </c>
      <c r="M48">
        <v>1946</v>
      </c>
      <c r="N48">
        <v>26.32169</v>
      </c>
      <c r="O48">
        <v>26.400880000000001</v>
      </c>
      <c r="P48" t="e">
        <f>NA()</f>
        <v>#N/A</v>
      </c>
      <c r="Q48" t="e">
        <f>NA()</f>
        <v>#N/A</v>
      </c>
      <c r="R48" t="e">
        <f>NA()</f>
        <v>#N/A</v>
      </c>
      <c r="S48" t="e">
        <f>NA()</f>
        <v>#N/A</v>
      </c>
      <c r="T48" t="e">
        <f>NA()</f>
        <v>#N/A</v>
      </c>
      <c r="U48" t="e">
        <f>NA()</f>
        <v>#N/A</v>
      </c>
      <c r="V48" t="e">
        <f>NA()</f>
        <v>#N/A</v>
      </c>
      <c r="W48" t="e">
        <f>NA()</f>
        <v>#N/A</v>
      </c>
      <c r="X48" t="e">
        <f>NA()</f>
        <v>#N/A</v>
      </c>
      <c r="Y48">
        <v>1874</v>
      </c>
      <c r="Z48">
        <v>7.063904</v>
      </c>
      <c r="AA48">
        <v>7.2107530000000004</v>
      </c>
      <c r="AB48">
        <v>1914</v>
      </c>
      <c r="AC48" t="e">
        <f>NA()</f>
        <v>#N/A</v>
      </c>
      <c r="AD48" t="e">
        <f>NA()</f>
        <v>#N/A</v>
      </c>
      <c r="AE48">
        <v>1920</v>
      </c>
      <c r="AF48">
        <v>16.402069999999998</v>
      </c>
      <c r="AG48">
        <v>15.85957</v>
      </c>
      <c r="AH48">
        <v>1948</v>
      </c>
      <c r="AI48">
        <v>8.9528639999999999</v>
      </c>
      <c r="AJ48">
        <v>8.9662310000000005</v>
      </c>
      <c r="AK48" t="e">
        <f>NA()</f>
        <v>#N/A</v>
      </c>
      <c r="AL48" t="e">
        <f>NA()</f>
        <v>#N/A</v>
      </c>
      <c r="AM48" t="e">
        <f>NA()</f>
        <v>#N/A</v>
      </c>
      <c r="AN48">
        <v>1914</v>
      </c>
      <c r="AO48">
        <v>12.950390000000001</v>
      </c>
      <c r="AP48">
        <v>12.7178</v>
      </c>
      <c r="AQ48">
        <v>1926</v>
      </c>
      <c r="AR48">
        <v>10.95797</v>
      </c>
      <c r="AS48">
        <v>10.69197</v>
      </c>
    </row>
    <row r="49" spans="1:45">
      <c r="A49">
        <v>1973</v>
      </c>
      <c r="B49" t="e">
        <f>NA()</f>
        <v>#N/A</v>
      </c>
      <c r="C49" t="e">
        <f>NA()</f>
        <v>#N/A</v>
      </c>
      <c r="D49">
        <v>1975</v>
      </c>
      <c r="E49">
        <v>12.476100000000001</v>
      </c>
      <c r="F49">
        <v>12.445589999999999</v>
      </c>
      <c r="G49">
        <v>1945</v>
      </c>
      <c r="H49">
        <v>17.065770000000001</v>
      </c>
      <c r="I49">
        <v>16.21388</v>
      </c>
      <c r="J49" t="e">
        <f>NA()</f>
        <v>#N/A</v>
      </c>
      <c r="K49" t="e">
        <f>NA()</f>
        <v>#N/A</v>
      </c>
      <c r="L49" t="e">
        <f>NA()</f>
        <v>#N/A</v>
      </c>
      <c r="M49">
        <v>1947</v>
      </c>
      <c r="N49">
        <v>26.45337</v>
      </c>
      <c r="O49">
        <v>26.460889999999999</v>
      </c>
      <c r="P49" t="e">
        <f>NA()</f>
        <v>#N/A</v>
      </c>
      <c r="Q49" t="e">
        <f>NA()</f>
        <v>#N/A</v>
      </c>
      <c r="R49" t="e">
        <f>NA()</f>
        <v>#N/A</v>
      </c>
      <c r="S49" t="e">
        <f>NA()</f>
        <v>#N/A</v>
      </c>
      <c r="T49" t="e">
        <f>NA()</f>
        <v>#N/A</v>
      </c>
      <c r="U49" t="e">
        <f>NA()</f>
        <v>#N/A</v>
      </c>
      <c r="V49" t="e">
        <f>NA()</f>
        <v>#N/A</v>
      </c>
      <c r="W49" t="e">
        <f>NA()</f>
        <v>#N/A</v>
      </c>
      <c r="X49" t="e">
        <f>NA()</f>
        <v>#N/A</v>
      </c>
      <c r="Y49">
        <v>1875</v>
      </c>
      <c r="Z49">
        <v>7.0664670000000003</v>
      </c>
      <c r="AA49">
        <v>7.2418800000000001</v>
      </c>
      <c r="AB49">
        <v>1915</v>
      </c>
      <c r="AC49" t="e">
        <f>NA()</f>
        <v>#N/A</v>
      </c>
      <c r="AD49" t="e">
        <f>NA()</f>
        <v>#N/A</v>
      </c>
      <c r="AE49">
        <v>1921</v>
      </c>
      <c r="AF49">
        <v>16.442209999999999</v>
      </c>
      <c r="AG49">
        <v>16.042770000000001</v>
      </c>
      <c r="AH49">
        <v>1949</v>
      </c>
      <c r="AI49">
        <v>9.015784</v>
      </c>
      <c r="AJ49">
        <v>9.1628059999999998</v>
      </c>
      <c r="AK49" t="e">
        <f>NA()</f>
        <v>#N/A</v>
      </c>
      <c r="AL49" t="e">
        <f>NA()</f>
        <v>#N/A</v>
      </c>
      <c r="AM49" t="e">
        <f>NA()</f>
        <v>#N/A</v>
      </c>
      <c r="AN49">
        <v>1915</v>
      </c>
      <c r="AO49">
        <v>12.91164</v>
      </c>
      <c r="AP49">
        <v>12.74945</v>
      </c>
      <c r="AQ49">
        <v>1927</v>
      </c>
      <c r="AR49">
        <v>10.90399</v>
      </c>
      <c r="AS49">
        <v>10.6972</v>
      </c>
    </row>
    <row r="50" spans="1:45">
      <c r="A50">
        <v>1974</v>
      </c>
      <c r="B50" t="e">
        <f>NA()</f>
        <v>#N/A</v>
      </c>
      <c r="C50" t="e">
        <f>NA()</f>
        <v>#N/A</v>
      </c>
      <c r="D50">
        <v>1976</v>
      </c>
      <c r="E50">
        <v>12.57072</v>
      </c>
      <c r="F50">
        <v>12.520099999999999</v>
      </c>
      <c r="G50">
        <v>1946</v>
      </c>
      <c r="H50">
        <v>17.155439999999999</v>
      </c>
      <c r="I50">
        <v>17.176110000000001</v>
      </c>
      <c r="J50" t="e">
        <f>NA()</f>
        <v>#N/A</v>
      </c>
      <c r="K50" t="e">
        <f>NA()</f>
        <v>#N/A</v>
      </c>
      <c r="L50" t="e">
        <f>NA()</f>
        <v>#N/A</v>
      </c>
      <c r="M50">
        <v>1948</v>
      </c>
      <c r="N50">
        <v>26.54335</v>
      </c>
      <c r="O50">
        <v>26.52657</v>
      </c>
      <c r="P50" t="e">
        <f>NA()</f>
        <v>#N/A</v>
      </c>
      <c r="Q50" t="e">
        <f>NA()</f>
        <v>#N/A</v>
      </c>
      <c r="R50" t="e">
        <f>NA()</f>
        <v>#N/A</v>
      </c>
      <c r="S50" t="e">
        <f>NA()</f>
        <v>#N/A</v>
      </c>
      <c r="T50" t="e">
        <f>NA()</f>
        <v>#N/A</v>
      </c>
      <c r="U50" t="e">
        <f>NA()</f>
        <v>#N/A</v>
      </c>
      <c r="V50" t="e">
        <f>NA()</f>
        <v>#N/A</v>
      </c>
      <c r="W50" t="e">
        <f>NA()</f>
        <v>#N/A</v>
      </c>
      <c r="X50" t="e">
        <f>NA()</f>
        <v>#N/A</v>
      </c>
      <c r="Y50">
        <v>1876</v>
      </c>
      <c r="Z50">
        <v>7.0630480000000002</v>
      </c>
      <c r="AA50">
        <v>7.3235210000000004</v>
      </c>
      <c r="AB50">
        <v>1916</v>
      </c>
      <c r="AC50" t="e">
        <f>NA()</f>
        <v>#N/A</v>
      </c>
      <c r="AD50" t="e">
        <f>NA()</f>
        <v>#N/A</v>
      </c>
      <c r="AE50">
        <v>1922</v>
      </c>
      <c r="AF50">
        <v>16.476400000000002</v>
      </c>
      <c r="AG50">
        <v>16.07131</v>
      </c>
      <c r="AH50">
        <v>1950</v>
      </c>
      <c r="AI50">
        <v>9.0734890000000004</v>
      </c>
      <c r="AJ50">
        <v>9.053998</v>
      </c>
      <c r="AK50" t="e">
        <f>NA()</f>
        <v>#N/A</v>
      </c>
      <c r="AL50" t="e">
        <f>NA()</f>
        <v>#N/A</v>
      </c>
      <c r="AM50" t="e">
        <f>NA()</f>
        <v>#N/A</v>
      </c>
      <c r="AN50">
        <v>1916</v>
      </c>
      <c r="AO50">
        <v>13.190020000000001</v>
      </c>
      <c r="AP50">
        <v>12.73814</v>
      </c>
      <c r="AQ50">
        <v>1928</v>
      </c>
      <c r="AR50">
        <v>10.84046</v>
      </c>
      <c r="AS50">
        <v>10.69922</v>
      </c>
    </row>
    <row r="51" spans="1:45">
      <c r="A51">
        <v>1975</v>
      </c>
      <c r="B51">
        <v>8.8538080000000008</v>
      </c>
      <c r="C51">
        <v>8.5588259999999998</v>
      </c>
      <c r="D51">
        <v>1977</v>
      </c>
      <c r="E51">
        <v>12.647550000000001</v>
      </c>
      <c r="F51">
        <v>12.60586</v>
      </c>
      <c r="G51">
        <v>1947</v>
      </c>
      <c r="H51">
        <v>17.244620000000001</v>
      </c>
      <c r="I51">
        <v>17.425360000000001</v>
      </c>
      <c r="J51" t="e">
        <f>NA()</f>
        <v>#N/A</v>
      </c>
      <c r="K51" t="e">
        <f>NA()</f>
        <v>#N/A</v>
      </c>
      <c r="L51" t="e">
        <f>NA()</f>
        <v>#N/A</v>
      </c>
      <c r="M51">
        <v>1949</v>
      </c>
      <c r="N51">
        <v>26.569700000000001</v>
      </c>
      <c r="O51">
        <v>26.58736</v>
      </c>
      <c r="P51" t="e">
        <f>NA()</f>
        <v>#N/A</v>
      </c>
      <c r="Q51" t="e">
        <f>NA()</f>
        <v>#N/A</v>
      </c>
      <c r="R51" t="e">
        <f>NA()</f>
        <v>#N/A</v>
      </c>
      <c r="S51" t="e">
        <f>NA()</f>
        <v>#N/A</v>
      </c>
      <c r="T51" t="e">
        <f>NA()</f>
        <v>#N/A</v>
      </c>
      <c r="U51" t="e">
        <f>NA()</f>
        <v>#N/A</v>
      </c>
      <c r="V51" t="e">
        <f>NA()</f>
        <v>#N/A</v>
      </c>
      <c r="W51" t="e">
        <f>NA()</f>
        <v>#N/A</v>
      </c>
      <c r="X51" t="e">
        <f>NA()</f>
        <v>#N/A</v>
      </c>
      <c r="Y51">
        <v>1877</v>
      </c>
      <c r="Z51">
        <v>7.0630480000000002</v>
      </c>
      <c r="AA51">
        <v>7.3770689999999997</v>
      </c>
      <c r="AB51">
        <v>1917</v>
      </c>
      <c r="AC51">
        <v>4.8828019999999999</v>
      </c>
      <c r="AD51">
        <v>4.900048</v>
      </c>
      <c r="AE51">
        <v>1923</v>
      </c>
      <c r="AF51">
        <v>16.54552</v>
      </c>
      <c r="AG51">
        <v>15.981730000000001</v>
      </c>
      <c r="AH51">
        <v>1951</v>
      </c>
      <c r="AI51">
        <v>9.1295640000000002</v>
      </c>
      <c r="AJ51">
        <v>8.9838909999999998</v>
      </c>
      <c r="AK51" t="e">
        <f>NA()</f>
        <v>#N/A</v>
      </c>
      <c r="AL51" t="e">
        <f>NA()</f>
        <v>#N/A</v>
      </c>
      <c r="AM51" t="e">
        <f>NA()</f>
        <v>#N/A</v>
      </c>
      <c r="AN51">
        <v>1917</v>
      </c>
      <c r="AO51">
        <v>13.27251</v>
      </c>
      <c r="AP51">
        <v>12.79096</v>
      </c>
      <c r="AQ51">
        <v>1929</v>
      </c>
      <c r="AR51">
        <v>10.82287</v>
      </c>
      <c r="AS51">
        <v>10.67666</v>
      </c>
    </row>
    <row r="52" spans="1:45">
      <c r="A52">
        <v>1976</v>
      </c>
      <c r="B52">
        <v>8.9146260000000002</v>
      </c>
      <c r="C52">
        <v>8.6565110000000001</v>
      </c>
      <c r="D52">
        <v>1978</v>
      </c>
      <c r="E52">
        <v>12.80491</v>
      </c>
      <c r="F52">
        <v>12.675470000000001</v>
      </c>
      <c r="G52">
        <v>1948</v>
      </c>
      <c r="H52">
        <v>17.32272</v>
      </c>
      <c r="I52">
        <v>17.483039999999999</v>
      </c>
      <c r="J52" t="e">
        <f>NA()</f>
        <v>#N/A</v>
      </c>
      <c r="K52" t="e">
        <f>NA()</f>
        <v>#N/A</v>
      </c>
      <c r="L52" t="e">
        <f>NA()</f>
        <v>#N/A</v>
      </c>
      <c r="M52">
        <v>1950</v>
      </c>
      <c r="N52">
        <v>26.68685</v>
      </c>
      <c r="O52">
        <v>26.658770000000001</v>
      </c>
      <c r="P52" t="e">
        <f>NA()</f>
        <v>#N/A</v>
      </c>
      <c r="Q52" t="e">
        <f>NA()</f>
        <v>#N/A</v>
      </c>
      <c r="R52" t="e">
        <f>NA()</f>
        <v>#N/A</v>
      </c>
      <c r="S52" t="e">
        <f>NA()</f>
        <v>#N/A</v>
      </c>
      <c r="T52" t="e">
        <f>NA()</f>
        <v>#N/A</v>
      </c>
      <c r="U52" t="e">
        <f>NA()</f>
        <v>#N/A</v>
      </c>
      <c r="V52" t="e">
        <f>NA()</f>
        <v>#N/A</v>
      </c>
      <c r="W52" t="e">
        <f>NA()</f>
        <v>#N/A</v>
      </c>
      <c r="X52" t="e">
        <f>NA()</f>
        <v>#N/A</v>
      </c>
      <c r="Y52">
        <v>1878</v>
      </c>
      <c r="Z52">
        <v>7.0698740000000004</v>
      </c>
      <c r="AA52">
        <v>7.4171620000000003</v>
      </c>
      <c r="AB52">
        <v>1918</v>
      </c>
      <c r="AC52">
        <v>4.9199809999999999</v>
      </c>
      <c r="AD52">
        <v>4.7977030000000003</v>
      </c>
      <c r="AE52">
        <v>1924</v>
      </c>
      <c r="AF52">
        <v>16.5901</v>
      </c>
      <c r="AG52">
        <v>16.066790000000001</v>
      </c>
      <c r="AH52">
        <v>1952</v>
      </c>
      <c r="AI52">
        <v>9.1526049999999994</v>
      </c>
      <c r="AJ52">
        <v>9.0527820000000006</v>
      </c>
      <c r="AK52" t="e">
        <f>NA()</f>
        <v>#N/A</v>
      </c>
      <c r="AL52" t="e">
        <f>NA()</f>
        <v>#N/A</v>
      </c>
      <c r="AM52" t="e">
        <f>NA()</f>
        <v>#N/A</v>
      </c>
      <c r="AN52">
        <v>1918</v>
      </c>
      <c r="AO52">
        <v>13.299670000000001</v>
      </c>
      <c r="AP52">
        <v>12.792619999999999</v>
      </c>
      <c r="AQ52">
        <v>1930</v>
      </c>
      <c r="AR52">
        <v>10.67482</v>
      </c>
      <c r="AS52">
        <v>10.724220000000001</v>
      </c>
    </row>
    <row r="53" spans="1:45">
      <c r="A53">
        <v>1977</v>
      </c>
      <c r="B53">
        <v>8.9773990000000001</v>
      </c>
      <c r="C53">
        <v>8.7710399999999993</v>
      </c>
      <c r="D53">
        <v>1979</v>
      </c>
      <c r="E53">
        <v>12.950390000000001</v>
      </c>
      <c r="F53">
        <v>12.77932</v>
      </c>
      <c r="G53">
        <v>1949</v>
      </c>
      <c r="H53">
        <v>17.411670000000001</v>
      </c>
      <c r="I53">
        <v>17.655899999999999</v>
      </c>
      <c r="J53" t="e">
        <f>NA()</f>
        <v>#N/A</v>
      </c>
      <c r="K53" t="e">
        <f>NA()</f>
        <v>#N/A</v>
      </c>
      <c r="L53" t="e">
        <f>NA()</f>
        <v>#N/A</v>
      </c>
      <c r="M53">
        <v>1951</v>
      </c>
      <c r="N53">
        <v>26.796309999999998</v>
      </c>
      <c r="O53">
        <v>26.728950000000001</v>
      </c>
      <c r="P53" t="e">
        <f>NA()</f>
        <v>#N/A</v>
      </c>
      <c r="Q53" t="e">
        <f>NA()</f>
        <v>#N/A</v>
      </c>
      <c r="R53" t="e">
        <f>NA()</f>
        <v>#N/A</v>
      </c>
      <c r="S53" t="e">
        <f>NA()</f>
        <v>#N/A</v>
      </c>
      <c r="T53" t="e">
        <f>NA()</f>
        <v>#N/A</v>
      </c>
      <c r="U53" t="e">
        <f>NA()</f>
        <v>#N/A</v>
      </c>
      <c r="V53" t="e">
        <f>NA()</f>
        <v>#N/A</v>
      </c>
      <c r="W53" t="e">
        <f>NA()</f>
        <v>#N/A</v>
      </c>
      <c r="X53" t="e">
        <f>NA()</f>
        <v>#N/A</v>
      </c>
      <c r="Y53">
        <v>1879</v>
      </c>
      <c r="Z53" t="e">
        <f>NA()</f>
        <v>#N/A</v>
      </c>
      <c r="AA53" t="e">
        <f>NA()</f>
        <v>#N/A</v>
      </c>
      <c r="AB53">
        <v>1919</v>
      </c>
      <c r="AC53">
        <v>4.9628449999999997</v>
      </c>
      <c r="AD53">
        <v>4.8221780000000001</v>
      </c>
      <c r="AE53">
        <v>1925</v>
      </c>
      <c r="AF53">
        <v>16.642410000000002</v>
      </c>
      <c r="AG53">
        <v>16.15269</v>
      </c>
      <c r="AH53">
        <v>1953</v>
      </c>
      <c r="AI53">
        <v>9.1889120000000002</v>
      </c>
      <c r="AJ53">
        <v>9.0866150000000001</v>
      </c>
      <c r="AK53" t="e">
        <f>NA()</f>
        <v>#N/A</v>
      </c>
      <c r="AL53" t="e">
        <f>NA()</f>
        <v>#N/A</v>
      </c>
      <c r="AM53" t="e">
        <f>NA()</f>
        <v>#N/A</v>
      </c>
      <c r="AN53">
        <v>1919</v>
      </c>
      <c r="AO53">
        <v>13.191890000000001</v>
      </c>
      <c r="AP53">
        <v>12.817769999999999</v>
      </c>
      <c r="AQ53">
        <v>1931</v>
      </c>
      <c r="AR53">
        <v>10.471579999999999</v>
      </c>
      <c r="AS53">
        <v>10.760009999999999</v>
      </c>
    </row>
    <row r="54" spans="1:45">
      <c r="A54">
        <v>1978</v>
      </c>
      <c r="B54">
        <v>9.037058</v>
      </c>
      <c r="C54">
        <v>8.8610520000000008</v>
      </c>
      <c r="D54">
        <v>1980</v>
      </c>
      <c r="E54">
        <v>12.921469999999999</v>
      </c>
      <c r="F54">
        <v>12.93496</v>
      </c>
      <c r="G54">
        <v>1950</v>
      </c>
      <c r="H54">
        <v>17.512830000000001</v>
      </c>
      <c r="I54">
        <v>17.548190000000002</v>
      </c>
      <c r="J54" t="e">
        <f>NA()</f>
        <v>#N/A</v>
      </c>
      <c r="K54" t="e">
        <f>NA()</f>
        <v>#N/A</v>
      </c>
      <c r="L54" t="e">
        <f>NA()</f>
        <v>#N/A</v>
      </c>
      <c r="M54">
        <v>1952</v>
      </c>
      <c r="N54">
        <v>26.863150000000001</v>
      </c>
      <c r="O54">
        <v>26.79383</v>
      </c>
      <c r="P54" t="e">
        <f>NA()</f>
        <v>#N/A</v>
      </c>
      <c r="Q54" t="e">
        <f>NA()</f>
        <v>#N/A</v>
      </c>
      <c r="R54" t="e">
        <f>NA()</f>
        <v>#N/A</v>
      </c>
      <c r="S54" t="e">
        <f>NA()</f>
        <v>#N/A</v>
      </c>
      <c r="T54" t="e">
        <f>NA()</f>
        <v>#N/A</v>
      </c>
      <c r="U54" t="e">
        <f>NA()</f>
        <v>#N/A</v>
      </c>
      <c r="V54" t="e">
        <f>NA()</f>
        <v>#N/A</v>
      </c>
      <c r="W54" t="e">
        <f>NA()</f>
        <v>#N/A</v>
      </c>
      <c r="X54" t="e">
        <f>NA()</f>
        <v>#N/A</v>
      </c>
      <c r="Y54">
        <v>1880</v>
      </c>
      <c r="Z54">
        <v>7.1000269999999999</v>
      </c>
      <c r="AA54">
        <v>7.3022919999999996</v>
      </c>
      <c r="AB54">
        <v>1920</v>
      </c>
      <c r="AC54">
        <v>5.0751739999999996</v>
      </c>
      <c r="AD54">
        <v>4.9040160000000004</v>
      </c>
      <c r="AE54">
        <v>1926</v>
      </c>
      <c r="AF54">
        <v>16.689019999999999</v>
      </c>
      <c r="AG54">
        <v>16.161159999999999</v>
      </c>
      <c r="AH54">
        <v>1954</v>
      </c>
      <c r="AI54">
        <v>9.2134350000000005</v>
      </c>
      <c r="AJ54">
        <v>9.3196969999999997</v>
      </c>
      <c r="AK54" t="e">
        <f>NA()</f>
        <v>#N/A</v>
      </c>
      <c r="AL54" t="e">
        <f>NA()</f>
        <v>#N/A</v>
      </c>
      <c r="AM54" t="e">
        <f>NA()</f>
        <v>#N/A</v>
      </c>
      <c r="AN54">
        <v>1920</v>
      </c>
      <c r="AO54">
        <v>13.31133</v>
      </c>
      <c r="AP54">
        <v>12.862109999999999</v>
      </c>
      <c r="AQ54">
        <v>1932</v>
      </c>
      <c r="AR54">
        <v>10.216620000000001</v>
      </c>
      <c r="AS54">
        <v>10.82142</v>
      </c>
    </row>
    <row r="55" spans="1:45">
      <c r="A55">
        <v>1979</v>
      </c>
      <c r="B55">
        <v>9.0662389999999995</v>
      </c>
      <c r="C55">
        <v>9.0026659999999996</v>
      </c>
      <c r="D55">
        <v>1981</v>
      </c>
      <c r="E55">
        <v>12.88917</v>
      </c>
      <c r="F55">
        <v>13.048209999999999</v>
      </c>
      <c r="G55">
        <v>1951</v>
      </c>
      <c r="H55">
        <v>17.569430000000001</v>
      </c>
      <c r="I55">
        <v>17.476189999999999</v>
      </c>
      <c r="J55" t="e">
        <f>NA()</f>
        <v>#N/A</v>
      </c>
      <c r="K55" t="e">
        <f>NA()</f>
        <v>#N/A</v>
      </c>
      <c r="L55" t="e">
        <f>NA()</f>
        <v>#N/A</v>
      </c>
      <c r="M55">
        <v>1953</v>
      </c>
      <c r="N55">
        <v>26.96743</v>
      </c>
      <c r="O55">
        <v>26.859279999999998</v>
      </c>
      <c r="P55" t="e">
        <f>NA()</f>
        <v>#N/A</v>
      </c>
      <c r="Q55" t="e">
        <f>NA()</f>
        <v>#N/A</v>
      </c>
      <c r="R55" t="e">
        <f>NA()</f>
        <v>#N/A</v>
      </c>
      <c r="S55" t="e">
        <f>NA()</f>
        <v>#N/A</v>
      </c>
      <c r="T55" t="e">
        <f>NA()</f>
        <v>#N/A</v>
      </c>
      <c r="U55" t="e">
        <f>NA()</f>
        <v>#N/A</v>
      </c>
      <c r="V55" t="e">
        <f>NA()</f>
        <v>#N/A</v>
      </c>
      <c r="W55" t="e">
        <f>NA()</f>
        <v>#N/A</v>
      </c>
      <c r="X55" t="e">
        <f>NA()</f>
        <v>#N/A</v>
      </c>
      <c r="Y55">
        <v>1881</v>
      </c>
      <c r="Z55">
        <v>7.1428279999999997</v>
      </c>
      <c r="AA55">
        <v>7.3575369999999998</v>
      </c>
      <c r="AB55">
        <v>1921</v>
      </c>
      <c r="AC55">
        <v>4.9698130000000003</v>
      </c>
      <c r="AD55">
        <v>5.0275970000000001</v>
      </c>
      <c r="AE55">
        <v>1927</v>
      </c>
      <c r="AF55">
        <v>16.7315</v>
      </c>
      <c r="AG55">
        <v>16.26652</v>
      </c>
      <c r="AH55">
        <v>1955</v>
      </c>
      <c r="AI55">
        <v>9.2633120000000009</v>
      </c>
      <c r="AJ55">
        <v>9.2688620000000004</v>
      </c>
      <c r="AK55" t="e">
        <f>NA()</f>
        <v>#N/A</v>
      </c>
      <c r="AL55" t="e">
        <f>NA()</f>
        <v>#N/A</v>
      </c>
      <c r="AM55" t="e">
        <f>NA()</f>
        <v>#N/A</v>
      </c>
      <c r="AN55">
        <v>1921</v>
      </c>
      <c r="AO55">
        <v>13.02144</v>
      </c>
      <c r="AP55">
        <v>12.92032</v>
      </c>
      <c r="AQ55">
        <v>1933</v>
      </c>
      <c r="AR55">
        <v>10.17892</v>
      </c>
      <c r="AS55">
        <v>10.827590000000001</v>
      </c>
    </row>
    <row r="56" spans="1:45">
      <c r="A56">
        <v>1980</v>
      </c>
      <c r="B56">
        <v>9.0612600000000008</v>
      </c>
      <c r="C56">
        <v>9.2222030000000004</v>
      </c>
      <c r="D56">
        <v>1982</v>
      </c>
      <c r="E56">
        <v>12.921469999999999</v>
      </c>
      <c r="F56">
        <v>13.227040000000001</v>
      </c>
      <c r="G56">
        <v>1952</v>
      </c>
      <c r="H56">
        <v>17.595669999999998</v>
      </c>
      <c r="I56">
        <v>17.532060000000001</v>
      </c>
      <c r="J56" t="e">
        <f>NA()</f>
        <v>#N/A</v>
      </c>
      <c r="K56" t="e">
        <f>NA()</f>
        <v>#N/A</v>
      </c>
      <c r="L56" t="e">
        <f>NA()</f>
        <v>#N/A</v>
      </c>
      <c r="M56">
        <v>1954</v>
      </c>
      <c r="N56">
        <v>27.024049999999999</v>
      </c>
      <c r="O56">
        <v>26.91807</v>
      </c>
      <c r="P56" t="e">
        <f>NA()</f>
        <v>#N/A</v>
      </c>
      <c r="Q56" t="e">
        <f>NA()</f>
        <v>#N/A</v>
      </c>
      <c r="R56" t="e">
        <f>NA()</f>
        <v>#N/A</v>
      </c>
      <c r="S56" t="e">
        <f>NA()</f>
        <v>#N/A</v>
      </c>
      <c r="T56" t="e">
        <f>NA()</f>
        <v>#N/A</v>
      </c>
      <c r="U56" t="e">
        <f>NA()</f>
        <v>#N/A</v>
      </c>
      <c r="V56" t="e">
        <f>NA()</f>
        <v>#N/A</v>
      </c>
      <c r="W56" t="e">
        <f>NA()</f>
        <v>#N/A</v>
      </c>
      <c r="X56" t="e">
        <f>NA()</f>
        <v>#N/A</v>
      </c>
      <c r="Y56">
        <v>1882</v>
      </c>
      <c r="Z56">
        <v>7.2122950000000001</v>
      </c>
      <c r="AA56">
        <v>7.3755449999999998</v>
      </c>
      <c r="AB56">
        <v>1922</v>
      </c>
      <c r="AC56">
        <v>5.043425</v>
      </c>
      <c r="AD56">
        <v>4.9923830000000002</v>
      </c>
      <c r="AE56">
        <v>1928</v>
      </c>
      <c r="AF56">
        <v>16.774529999999999</v>
      </c>
      <c r="AG56">
        <v>16.364619999999999</v>
      </c>
      <c r="AH56">
        <v>1956</v>
      </c>
      <c r="AI56">
        <v>9.2999069999999993</v>
      </c>
      <c r="AJ56">
        <v>9.4029410000000002</v>
      </c>
      <c r="AK56" t="e">
        <f>NA()</f>
        <v>#N/A</v>
      </c>
      <c r="AL56" t="e">
        <f>NA()</f>
        <v>#N/A</v>
      </c>
      <c r="AM56" t="e">
        <f>NA()</f>
        <v>#N/A</v>
      </c>
      <c r="AN56">
        <v>1922</v>
      </c>
      <c r="AO56">
        <v>13.12236</v>
      </c>
      <c r="AP56">
        <v>12.938689999999999</v>
      </c>
      <c r="AQ56">
        <v>1934</v>
      </c>
      <c r="AR56">
        <v>10.27777</v>
      </c>
      <c r="AS56">
        <v>10.790979999999999</v>
      </c>
    </row>
    <row r="57" spans="1:45">
      <c r="A57">
        <v>1981</v>
      </c>
      <c r="B57">
        <v>9.0265380000000004</v>
      </c>
      <c r="C57">
        <v>9.3788999999999998</v>
      </c>
      <c r="D57">
        <v>1983</v>
      </c>
      <c r="E57">
        <v>13.00132</v>
      </c>
      <c r="F57">
        <v>13.312749999999999</v>
      </c>
      <c r="G57">
        <v>1953</v>
      </c>
      <c r="H57">
        <v>17.65343</v>
      </c>
      <c r="I57">
        <v>17.555779999999999</v>
      </c>
      <c r="J57" t="e">
        <f>NA()</f>
        <v>#N/A</v>
      </c>
      <c r="K57" t="e">
        <f>NA()</f>
        <v>#N/A</v>
      </c>
      <c r="L57" t="e">
        <f>NA()</f>
        <v>#N/A</v>
      </c>
      <c r="M57">
        <v>1955</v>
      </c>
      <c r="N57">
        <v>27.168990000000001</v>
      </c>
      <c r="O57">
        <v>26.987539999999999</v>
      </c>
      <c r="P57" t="e">
        <f>NA()</f>
        <v>#N/A</v>
      </c>
      <c r="Q57" t="e">
        <f>NA()</f>
        <v>#N/A</v>
      </c>
      <c r="R57" t="e">
        <f>NA()</f>
        <v>#N/A</v>
      </c>
      <c r="S57" t="e">
        <f>NA()</f>
        <v>#N/A</v>
      </c>
      <c r="T57" t="e">
        <f>NA()</f>
        <v>#N/A</v>
      </c>
      <c r="U57" t="e">
        <f>NA()</f>
        <v>#N/A</v>
      </c>
      <c r="V57" t="e">
        <f>NA()</f>
        <v>#N/A</v>
      </c>
      <c r="W57" t="e">
        <f>NA()</f>
        <v>#N/A</v>
      </c>
      <c r="X57" t="e">
        <f>NA()</f>
        <v>#N/A</v>
      </c>
      <c r="Y57">
        <v>1883</v>
      </c>
      <c r="Z57">
        <v>7.2534700000000001</v>
      </c>
      <c r="AA57">
        <v>7.4418220000000002</v>
      </c>
      <c r="AB57">
        <v>1923</v>
      </c>
      <c r="AC57">
        <v>5.1059460000000003</v>
      </c>
      <c r="AD57">
        <v>4.8357049999999999</v>
      </c>
      <c r="AE57">
        <v>1929</v>
      </c>
      <c r="AF57">
        <v>16.810939999999999</v>
      </c>
      <c r="AG57">
        <v>16.370139999999999</v>
      </c>
      <c r="AH57">
        <v>1957</v>
      </c>
      <c r="AI57">
        <v>9.3242940000000001</v>
      </c>
      <c r="AJ57">
        <v>9.5406750000000002</v>
      </c>
      <c r="AK57" t="e">
        <f>NA()</f>
        <v>#N/A</v>
      </c>
      <c r="AL57" t="e">
        <f>NA()</f>
        <v>#N/A</v>
      </c>
      <c r="AM57" t="e">
        <f>NA()</f>
        <v>#N/A</v>
      </c>
      <c r="AN57">
        <v>1923</v>
      </c>
      <c r="AO57">
        <v>13.31793</v>
      </c>
      <c r="AP57">
        <v>12.9323</v>
      </c>
      <c r="AQ57">
        <v>1935</v>
      </c>
      <c r="AR57">
        <v>10.301830000000001</v>
      </c>
      <c r="AS57">
        <v>10.75535</v>
      </c>
    </row>
    <row r="58" spans="1:45">
      <c r="A58">
        <v>1982</v>
      </c>
      <c r="B58">
        <v>8.9836899999999993</v>
      </c>
      <c r="C58">
        <v>9.6347989999999992</v>
      </c>
      <c r="D58">
        <v>1984</v>
      </c>
      <c r="E58">
        <v>13.07527</v>
      </c>
      <c r="F58">
        <v>13.352460000000001</v>
      </c>
      <c r="G58">
        <v>1954</v>
      </c>
      <c r="H58">
        <v>17.69641</v>
      </c>
      <c r="I58">
        <v>17.762789999999999</v>
      </c>
      <c r="J58" t="e">
        <f>NA()</f>
        <v>#N/A</v>
      </c>
      <c r="K58" t="e">
        <f>NA()</f>
        <v>#N/A</v>
      </c>
      <c r="L58" t="e">
        <f>NA()</f>
        <v>#N/A</v>
      </c>
      <c r="M58">
        <v>1956</v>
      </c>
      <c r="N58">
        <v>27.25414</v>
      </c>
      <c r="O58">
        <v>27.049939999999999</v>
      </c>
      <c r="P58" t="e">
        <f>NA()</f>
        <v>#N/A</v>
      </c>
      <c r="Q58" t="e">
        <f>NA()</f>
        <v>#N/A</v>
      </c>
      <c r="R58" t="e">
        <f>NA()</f>
        <v>#N/A</v>
      </c>
      <c r="S58" t="e">
        <f>NA()</f>
        <v>#N/A</v>
      </c>
      <c r="T58" t="e">
        <f>NA()</f>
        <v>#N/A</v>
      </c>
      <c r="U58" t="e">
        <f>NA()</f>
        <v>#N/A</v>
      </c>
      <c r="V58" t="e">
        <f>NA()</f>
        <v>#N/A</v>
      </c>
      <c r="W58" t="e">
        <f>NA()</f>
        <v>#N/A</v>
      </c>
      <c r="X58" t="e">
        <f>NA()</f>
        <v>#N/A</v>
      </c>
      <c r="Y58">
        <v>1884</v>
      </c>
      <c r="Z58">
        <v>7.2902930000000001</v>
      </c>
      <c r="AA58">
        <v>7.5148109999999999</v>
      </c>
      <c r="AB58">
        <v>1924</v>
      </c>
      <c r="AC58">
        <v>5.1357980000000003</v>
      </c>
      <c r="AD58">
        <v>4.8588339999999999</v>
      </c>
      <c r="AE58">
        <v>1930</v>
      </c>
      <c r="AF58">
        <v>16.81757</v>
      </c>
      <c r="AG58">
        <v>16.654129999999999</v>
      </c>
      <c r="AH58">
        <v>1958</v>
      </c>
      <c r="AI58">
        <v>9.3418949999999992</v>
      </c>
      <c r="AJ58">
        <v>9.7800399999999996</v>
      </c>
      <c r="AK58" t="e">
        <f>NA()</f>
        <v>#N/A</v>
      </c>
      <c r="AL58" t="e">
        <f>NA()</f>
        <v>#N/A</v>
      </c>
      <c r="AM58" t="e">
        <f>NA()</f>
        <v>#N/A</v>
      </c>
      <c r="AN58">
        <v>1924</v>
      </c>
      <c r="AO58">
        <v>13.25689</v>
      </c>
      <c r="AP58">
        <v>12.967560000000001</v>
      </c>
      <c r="AQ58">
        <v>1936</v>
      </c>
      <c r="AR58">
        <v>10.49532</v>
      </c>
      <c r="AS58">
        <v>10.69209</v>
      </c>
    </row>
    <row r="59" spans="1:45">
      <c r="A59">
        <v>1983</v>
      </c>
      <c r="B59">
        <v>9.1241280000000007</v>
      </c>
      <c r="C59">
        <v>9.7504950000000008</v>
      </c>
      <c r="D59">
        <v>1985</v>
      </c>
      <c r="E59">
        <v>13.1844</v>
      </c>
      <c r="F59">
        <v>13.44159</v>
      </c>
      <c r="G59">
        <v>1955</v>
      </c>
      <c r="H59">
        <v>17.769539999999999</v>
      </c>
      <c r="I59">
        <v>17.70898</v>
      </c>
      <c r="J59" t="e">
        <f>NA()</f>
        <v>#N/A</v>
      </c>
      <c r="K59" t="e">
        <f>NA()</f>
        <v>#N/A</v>
      </c>
      <c r="L59" t="e">
        <f>NA()</f>
        <v>#N/A</v>
      </c>
      <c r="M59">
        <v>1957</v>
      </c>
      <c r="N59">
        <v>27.29834</v>
      </c>
      <c r="O59">
        <v>27.112380000000002</v>
      </c>
      <c r="P59" t="e">
        <f>NA()</f>
        <v>#N/A</v>
      </c>
      <c r="Q59" t="e">
        <f>NA()</f>
        <v>#N/A</v>
      </c>
      <c r="R59" t="e">
        <f>NA()</f>
        <v>#N/A</v>
      </c>
      <c r="S59" t="e">
        <f>NA()</f>
        <v>#N/A</v>
      </c>
      <c r="T59" t="e">
        <f>NA()</f>
        <v>#N/A</v>
      </c>
      <c r="U59" t="e">
        <f>NA()</f>
        <v>#N/A</v>
      </c>
      <c r="V59" t="e">
        <f>NA()</f>
        <v>#N/A</v>
      </c>
      <c r="W59" t="e">
        <f>NA()</f>
        <v>#N/A</v>
      </c>
      <c r="X59" t="e">
        <f>NA()</f>
        <v>#N/A</v>
      </c>
      <c r="Y59">
        <v>1885</v>
      </c>
      <c r="Z59">
        <v>7.309882</v>
      </c>
      <c r="AA59">
        <v>7.5999350000000003</v>
      </c>
      <c r="AB59">
        <v>1925</v>
      </c>
      <c r="AC59">
        <v>5.2626900000000001</v>
      </c>
      <c r="AD59">
        <v>4.8831009999999999</v>
      </c>
      <c r="AE59">
        <v>1931</v>
      </c>
      <c r="AF59">
        <v>16.79242</v>
      </c>
      <c r="AG59">
        <v>16.902999999999999</v>
      </c>
      <c r="AH59">
        <v>1959</v>
      </c>
      <c r="AI59">
        <v>9.3842940000000006</v>
      </c>
      <c r="AJ59">
        <v>9.7091960000000004</v>
      </c>
      <c r="AK59" t="e">
        <f>NA()</f>
        <v>#N/A</v>
      </c>
      <c r="AL59" t="e">
        <f>NA()</f>
        <v>#N/A</v>
      </c>
      <c r="AM59" t="e">
        <f>NA()</f>
        <v>#N/A</v>
      </c>
      <c r="AN59">
        <v>1925</v>
      </c>
      <c r="AO59">
        <v>13.319570000000001</v>
      </c>
      <c r="AP59">
        <v>12.99971</v>
      </c>
      <c r="AQ59">
        <v>1937</v>
      </c>
      <c r="AR59">
        <v>10.59019</v>
      </c>
      <c r="AS59">
        <v>10.669169999999999</v>
      </c>
    </row>
    <row r="60" spans="1:45">
      <c r="A60">
        <v>1984</v>
      </c>
      <c r="B60">
        <v>9.2214779999999994</v>
      </c>
      <c r="C60">
        <v>9.7970559999999995</v>
      </c>
      <c r="D60">
        <v>1986</v>
      </c>
      <c r="E60">
        <v>13.27594</v>
      </c>
      <c r="F60">
        <v>13.53726</v>
      </c>
      <c r="G60">
        <v>1956</v>
      </c>
      <c r="H60">
        <v>17.808389999999999</v>
      </c>
      <c r="I60">
        <v>17.825199999999999</v>
      </c>
      <c r="J60" t="e">
        <f>NA()</f>
        <v>#N/A</v>
      </c>
      <c r="K60" t="e">
        <f>NA()</f>
        <v>#N/A</v>
      </c>
      <c r="L60" t="e">
        <f>NA()</f>
        <v>#N/A</v>
      </c>
      <c r="M60">
        <v>1958</v>
      </c>
      <c r="N60">
        <v>27.31082</v>
      </c>
      <c r="O60">
        <v>27.1694</v>
      </c>
      <c r="P60" t="e">
        <f>NA()</f>
        <v>#N/A</v>
      </c>
      <c r="Q60" t="e">
        <f>NA()</f>
        <v>#N/A</v>
      </c>
      <c r="R60" t="e">
        <f>NA()</f>
        <v>#N/A</v>
      </c>
      <c r="S60" t="e">
        <f>NA()</f>
        <v>#N/A</v>
      </c>
      <c r="T60" t="e">
        <f>NA()</f>
        <v>#N/A</v>
      </c>
      <c r="U60" t="e">
        <f>NA()</f>
        <v>#N/A</v>
      </c>
      <c r="V60" t="e">
        <f>NA()</f>
        <v>#N/A</v>
      </c>
      <c r="W60" t="e">
        <f>NA()</f>
        <v>#N/A</v>
      </c>
      <c r="X60" t="e">
        <f>NA()</f>
        <v>#N/A</v>
      </c>
      <c r="Y60">
        <v>1886</v>
      </c>
      <c r="Z60">
        <v>7.3284370000000001</v>
      </c>
      <c r="AA60">
        <v>7.6545019999999999</v>
      </c>
      <c r="AB60">
        <v>1926</v>
      </c>
      <c r="AC60">
        <v>5.3890719999999996</v>
      </c>
      <c r="AD60">
        <v>4.8278869999999996</v>
      </c>
      <c r="AE60">
        <v>1932</v>
      </c>
      <c r="AF60">
        <v>16.669910000000002</v>
      </c>
      <c r="AG60">
        <v>17.259270000000001</v>
      </c>
      <c r="AH60">
        <v>1960</v>
      </c>
      <c r="AI60">
        <v>9.4080429999999993</v>
      </c>
      <c r="AJ60">
        <v>9.8116160000000008</v>
      </c>
      <c r="AK60" t="e">
        <f>NA()</f>
        <v>#N/A</v>
      </c>
      <c r="AL60" t="e">
        <f>NA()</f>
        <v>#N/A</v>
      </c>
      <c r="AM60" t="e">
        <f>NA()</f>
        <v>#N/A</v>
      </c>
      <c r="AN60">
        <v>1926</v>
      </c>
      <c r="AO60">
        <v>13.389329999999999</v>
      </c>
      <c r="AP60">
        <v>13.01282</v>
      </c>
      <c r="AQ60">
        <v>1938</v>
      </c>
      <c r="AR60">
        <v>10.458920000000001</v>
      </c>
      <c r="AS60">
        <v>10.68572</v>
      </c>
    </row>
    <row r="61" spans="1:45">
      <c r="A61">
        <v>1985</v>
      </c>
      <c r="B61">
        <v>9.1745059999999992</v>
      </c>
      <c r="C61">
        <v>9.9182009999999998</v>
      </c>
      <c r="D61">
        <v>1987</v>
      </c>
      <c r="E61">
        <v>13.372339999999999</v>
      </c>
      <c r="F61">
        <v>13.631</v>
      </c>
      <c r="G61">
        <v>1957</v>
      </c>
      <c r="H61">
        <v>17.839400000000001</v>
      </c>
      <c r="I61">
        <v>17.944890000000001</v>
      </c>
      <c r="J61" t="e">
        <f>NA()</f>
        <v>#N/A</v>
      </c>
      <c r="K61" t="e">
        <f>NA()</f>
        <v>#N/A</v>
      </c>
      <c r="L61" t="e">
        <f>NA()</f>
        <v>#N/A</v>
      </c>
      <c r="M61">
        <v>1959</v>
      </c>
      <c r="N61">
        <v>27.40663</v>
      </c>
      <c r="O61">
        <v>27.238050000000001</v>
      </c>
      <c r="P61" t="e">
        <f>NA()</f>
        <v>#N/A</v>
      </c>
      <c r="Q61" t="e">
        <f>NA()</f>
        <v>#N/A</v>
      </c>
      <c r="R61" t="e">
        <f>NA()</f>
        <v>#N/A</v>
      </c>
      <c r="S61" t="e">
        <f>NA()</f>
        <v>#N/A</v>
      </c>
      <c r="T61" t="e">
        <f>NA()</f>
        <v>#N/A</v>
      </c>
      <c r="U61" t="e">
        <f>NA()</f>
        <v>#N/A</v>
      </c>
      <c r="V61" t="e">
        <f>NA()</f>
        <v>#N/A</v>
      </c>
      <c r="W61" t="e">
        <f>NA()</f>
        <v>#N/A</v>
      </c>
      <c r="X61" t="e">
        <f>NA()</f>
        <v>#N/A</v>
      </c>
      <c r="Y61">
        <v>1887</v>
      </c>
      <c r="Z61">
        <v>7.3414840000000003</v>
      </c>
      <c r="AA61">
        <v>7.6886530000000004</v>
      </c>
      <c r="AB61">
        <v>1927</v>
      </c>
      <c r="AC61">
        <v>5.3890719999999996</v>
      </c>
      <c r="AD61">
        <v>4.8724970000000001</v>
      </c>
      <c r="AE61">
        <v>1933</v>
      </c>
      <c r="AF61">
        <v>16.62792</v>
      </c>
      <c r="AG61">
        <v>17.396139999999999</v>
      </c>
      <c r="AH61">
        <v>1961</v>
      </c>
      <c r="AI61">
        <v>9.4367590000000003</v>
      </c>
      <c r="AJ61">
        <v>9.9227150000000002</v>
      </c>
      <c r="AK61" t="e">
        <f>NA()</f>
        <v>#N/A</v>
      </c>
      <c r="AL61" t="e">
        <f>NA()</f>
        <v>#N/A</v>
      </c>
      <c r="AM61" t="e">
        <f>NA()</f>
        <v>#N/A</v>
      </c>
      <c r="AN61">
        <v>1927</v>
      </c>
      <c r="AO61">
        <v>13.35506</v>
      </c>
      <c r="AP61">
        <v>13.048450000000001</v>
      </c>
      <c r="AQ61">
        <v>1939</v>
      </c>
      <c r="AR61">
        <v>10.50652</v>
      </c>
      <c r="AS61">
        <v>10.64972</v>
      </c>
    </row>
    <row r="62" spans="1:45">
      <c r="A62">
        <v>1986</v>
      </c>
      <c r="B62">
        <v>9.2792130000000004</v>
      </c>
      <c r="C62">
        <v>10.04923</v>
      </c>
      <c r="D62">
        <v>1988</v>
      </c>
      <c r="E62">
        <v>13.428380000000001</v>
      </c>
      <c r="F62">
        <v>13.71468</v>
      </c>
      <c r="G62">
        <v>1958</v>
      </c>
      <c r="H62">
        <v>17.856649999999998</v>
      </c>
      <c r="I62">
        <v>18.15795</v>
      </c>
      <c r="J62" t="e">
        <f>NA()</f>
        <v>#N/A</v>
      </c>
      <c r="K62" t="e">
        <f>NA()</f>
        <v>#N/A</v>
      </c>
      <c r="L62" t="e">
        <f>NA()</f>
        <v>#N/A</v>
      </c>
      <c r="M62">
        <v>1960</v>
      </c>
      <c r="N62">
        <v>27.462599999999998</v>
      </c>
      <c r="O62">
        <v>27.299099999999999</v>
      </c>
      <c r="P62" t="e">
        <f>NA()</f>
        <v>#N/A</v>
      </c>
      <c r="Q62" t="e">
        <f>NA()</f>
        <v>#N/A</v>
      </c>
      <c r="R62" t="e">
        <f>NA()</f>
        <v>#N/A</v>
      </c>
      <c r="S62" t="e">
        <f>NA()</f>
        <v>#N/A</v>
      </c>
      <c r="T62" t="e">
        <f>NA()</f>
        <v>#N/A</v>
      </c>
      <c r="U62" t="e">
        <f>NA()</f>
        <v>#N/A</v>
      </c>
      <c r="V62" t="e">
        <f>NA()</f>
        <v>#N/A</v>
      </c>
      <c r="W62" t="e">
        <f>NA()</f>
        <v>#N/A</v>
      </c>
      <c r="X62" t="e">
        <f>NA()</f>
        <v>#N/A</v>
      </c>
      <c r="Y62">
        <v>1888</v>
      </c>
      <c r="Z62">
        <v>7.4073180000000001</v>
      </c>
      <c r="AA62">
        <v>7.7858890000000001</v>
      </c>
      <c r="AB62">
        <v>1928</v>
      </c>
      <c r="AC62">
        <v>5.4337220000000004</v>
      </c>
      <c r="AD62">
        <v>4.9098230000000003</v>
      </c>
      <c r="AE62">
        <v>1934</v>
      </c>
      <c r="AF62">
        <v>16.64235</v>
      </c>
      <c r="AG62">
        <v>17.36082</v>
      </c>
      <c r="AH62">
        <v>1962</v>
      </c>
      <c r="AI62">
        <v>9.4776930000000004</v>
      </c>
      <c r="AJ62">
        <v>9.8928630000000002</v>
      </c>
      <c r="AK62" t="e">
        <f>NA()</f>
        <v>#N/A</v>
      </c>
      <c r="AL62" t="e">
        <f>NA()</f>
        <v>#N/A</v>
      </c>
      <c r="AM62" t="e">
        <f>NA()</f>
        <v>#N/A</v>
      </c>
      <c r="AN62">
        <v>1928</v>
      </c>
      <c r="AO62">
        <v>13.364520000000001</v>
      </c>
      <c r="AP62">
        <v>13.08107</v>
      </c>
      <c r="AQ62">
        <v>1940</v>
      </c>
      <c r="AR62">
        <v>10.55161</v>
      </c>
      <c r="AS62">
        <v>10.61478</v>
      </c>
    </row>
    <row r="63" spans="1:45">
      <c r="A63">
        <v>1987</v>
      </c>
      <c r="B63">
        <v>9.3874820000000003</v>
      </c>
      <c r="C63">
        <v>10.177530000000001</v>
      </c>
      <c r="D63">
        <v>1989</v>
      </c>
      <c r="E63">
        <v>13.448779999999999</v>
      </c>
      <c r="F63">
        <v>13.80993</v>
      </c>
      <c r="G63">
        <v>1959</v>
      </c>
      <c r="H63">
        <v>17.90071</v>
      </c>
      <c r="I63">
        <v>18.085999999999999</v>
      </c>
      <c r="J63" t="e">
        <f>NA()</f>
        <v>#N/A</v>
      </c>
      <c r="K63" t="e">
        <f>NA()</f>
        <v>#N/A</v>
      </c>
      <c r="L63" t="e">
        <f>NA()</f>
        <v>#N/A</v>
      </c>
      <c r="M63">
        <v>1961</v>
      </c>
      <c r="N63">
        <v>27.50432</v>
      </c>
      <c r="O63">
        <v>27.360440000000001</v>
      </c>
      <c r="P63" t="e">
        <f>NA()</f>
        <v>#N/A</v>
      </c>
      <c r="Q63" t="e">
        <f>NA()</f>
        <v>#N/A</v>
      </c>
      <c r="R63" t="e">
        <f>NA()</f>
        <v>#N/A</v>
      </c>
      <c r="S63" t="e">
        <f>NA()</f>
        <v>#N/A</v>
      </c>
      <c r="T63" t="e">
        <f>NA()</f>
        <v>#N/A</v>
      </c>
      <c r="U63" t="e">
        <f>NA()</f>
        <v>#N/A</v>
      </c>
      <c r="V63" t="e">
        <f>NA()</f>
        <v>#N/A</v>
      </c>
      <c r="W63" t="e">
        <f>NA()</f>
        <v>#N/A</v>
      </c>
      <c r="X63" t="e">
        <f>NA()</f>
        <v>#N/A</v>
      </c>
      <c r="Y63">
        <v>1889</v>
      </c>
      <c r="Z63">
        <v>7.4764720000000002</v>
      </c>
      <c r="AA63">
        <v>7.7962170000000004</v>
      </c>
      <c r="AB63">
        <v>1929</v>
      </c>
      <c r="AC63">
        <v>5.5451769999999998</v>
      </c>
      <c r="AD63">
        <v>4.8520490000000001</v>
      </c>
      <c r="AE63">
        <v>1935</v>
      </c>
      <c r="AF63">
        <v>16.674790000000002</v>
      </c>
      <c r="AG63">
        <v>17.328130000000002</v>
      </c>
      <c r="AH63">
        <v>1963</v>
      </c>
      <c r="AI63">
        <v>9.5220800000000008</v>
      </c>
      <c r="AJ63">
        <v>9.9191559999999992</v>
      </c>
      <c r="AK63" t="e">
        <f>NA()</f>
        <v>#N/A</v>
      </c>
      <c r="AL63" t="e">
        <f>NA()</f>
        <v>#N/A</v>
      </c>
      <c r="AM63" t="e">
        <f>NA()</f>
        <v>#N/A</v>
      </c>
      <c r="AN63">
        <v>1929</v>
      </c>
      <c r="AO63">
        <v>13.395440000000001</v>
      </c>
      <c r="AP63">
        <v>13.09099</v>
      </c>
      <c r="AQ63">
        <v>1941</v>
      </c>
      <c r="AR63">
        <v>10.76477</v>
      </c>
      <c r="AS63">
        <v>10.5398</v>
      </c>
    </row>
    <row r="64" spans="1:45">
      <c r="A64">
        <v>1988</v>
      </c>
      <c r="B64">
        <v>9.5358239999999999</v>
      </c>
      <c r="C64">
        <v>10.290649999999999</v>
      </c>
      <c r="D64">
        <v>1990</v>
      </c>
      <c r="E64">
        <v>13.507630000000001</v>
      </c>
      <c r="F64">
        <v>13.934810000000001</v>
      </c>
      <c r="G64">
        <v>1960</v>
      </c>
      <c r="H64">
        <v>17.9375</v>
      </c>
      <c r="I64">
        <v>18.173290000000001</v>
      </c>
      <c r="J64" t="e">
        <f>NA()</f>
        <v>#N/A</v>
      </c>
      <c r="K64" t="e">
        <f>NA()</f>
        <v>#N/A</v>
      </c>
      <c r="L64" t="e">
        <f>NA()</f>
        <v>#N/A</v>
      </c>
      <c r="M64">
        <v>1962</v>
      </c>
      <c r="N64">
        <v>27.576560000000001</v>
      </c>
      <c r="O64">
        <v>27.42576</v>
      </c>
      <c r="P64" t="e">
        <f>NA()</f>
        <v>#N/A</v>
      </c>
      <c r="Q64" t="e">
        <f>NA()</f>
        <v>#N/A</v>
      </c>
      <c r="R64" t="e">
        <f>NA()</f>
        <v>#N/A</v>
      </c>
      <c r="S64" t="e">
        <f>NA()</f>
        <v>#N/A</v>
      </c>
      <c r="T64" t="e">
        <f>NA()</f>
        <v>#N/A</v>
      </c>
      <c r="U64" t="e">
        <f>NA()</f>
        <v>#N/A</v>
      </c>
      <c r="V64" t="e">
        <f>NA()</f>
        <v>#N/A</v>
      </c>
      <c r="W64" t="e">
        <f>NA()</f>
        <v>#N/A</v>
      </c>
      <c r="X64" t="e">
        <f>NA()</f>
        <v>#N/A</v>
      </c>
      <c r="Y64">
        <v>1890</v>
      </c>
      <c r="Z64">
        <v>7.5277940000000001</v>
      </c>
      <c r="AA64">
        <v>7.8661380000000003</v>
      </c>
      <c r="AB64">
        <v>1930</v>
      </c>
      <c r="AC64">
        <v>5.4467369999999997</v>
      </c>
      <c r="AD64">
        <v>5.0808989999999996</v>
      </c>
      <c r="AE64">
        <v>1936</v>
      </c>
      <c r="AF64">
        <v>16.731120000000001</v>
      </c>
      <c r="AG64">
        <v>17.186710000000001</v>
      </c>
      <c r="AH64">
        <v>1964</v>
      </c>
      <c r="AI64">
        <v>9.5692730000000008</v>
      </c>
      <c r="AJ64">
        <v>9.8896350000000002</v>
      </c>
      <c r="AK64" t="e">
        <f>NA()</f>
        <v>#N/A</v>
      </c>
      <c r="AL64" t="e">
        <f>NA()</f>
        <v>#N/A</v>
      </c>
      <c r="AM64" t="e">
        <f>NA()</f>
        <v>#N/A</v>
      </c>
      <c r="AN64">
        <v>1930</v>
      </c>
      <c r="AO64">
        <v>13.24103</v>
      </c>
      <c r="AP64">
        <v>13.165710000000001</v>
      </c>
      <c r="AQ64">
        <v>1942</v>
      </c>
      <c r="AR64">
        <v>11.36786</v>
      </c>
      <c r="AS64">
        <v>10.459580000000001</v>
      </c>
    </row>
    <row r="65" spans="1:45">
      <c r="A65">
        <v>1989</v>
      </c>
      <c r="B65">
        <v>9.5921959999999995</v>
      </c>
      <c r="C65">
        <v>10.421150000000001</v>
      </c>
      <c r="D65">
        <v>1991</v>
      </c>
      <c r="E65">
        <v>13.48701</v>
      </c>
      <c r="F65">
        <v>14.094150000000001</v>
      </c>
      <c r="G65">
        <v>1961</v>
      </c>
      <c r="H65">
        <v>17.965240000000001</v>
      </c>
      <c r="I65">
        <v>18.26867</v>
      </c>
      <c r="J65" t="e">
        <f>NA()</f>
        <v>#N/A</v>
      </c>
      <c r="K65" t="e">
        <f>NA()</f>
        <v>#N/A</v>
      </c>
      <c r="L65" t="e">
        <f>NA()</f>
        <v>#N/A</v>
      </c>
      <c r="M65">
        <v>1963</v>
      </c>
      <c r="N65">
        <v>27.640969999999999</v>
      </c>
      <c r="O65">
        <v>27.4878</v>
      </c>
      <c r="P65" t="e">
        <f>NA()</f>
        <v>#N/A</v>
      </c>
      <c r="Q65" t="e">
        <f>NA()</f>
        <v>#N/A</v>
      </c>
      <c r="R65" t="e">
        <f>NA()</f>
        <v>#N/A</v>
      </c>
      <c r="S65" t="e">
        <f>NA()</f>
        <v>#N/A</v>
      </c>
      <c r="T65" t="e">
        <f>NA()</f>
        <v>#N/A</v>
      </c>
      <c r="U65" t="e">
        <f>NA()</f>
        <v>#N/A</v>
      </c>
      <c r="V65" t="e">
        <f>NA()</f>
        <v>#N/A</v>
      </c>
      <c r="W65" t="e">
        <f>NA()</f>
        <v>#N/A</v>
      </c>
      <c r="X65" t="e">
        <f>NA()</f>
        <v>#N/A</v>
      </c>
      <c r="Y65">
        <v>1891</v>
      </c>
      <c r="Z65">
        <v>7.6088709999999997</v>
      </c>
      <c r="AA65">
        <v>7.8985329999999996</v>
      </c>
      <c r="AB65">
        <v>1931</v>
      </c>
      <c r="AC65">
        <v>5.3033049999999999</v>
      </c>
      <c r="AD65">
        <v>5.2738449999999997</v>
      </c>
      <c r="AE65">
        <v>1937</v>
      </c>
      <c r="AF65">
        <v>16.785049999999998</v>
      </c>
      <c r="AG65">
        <v>17.208500000000001</v>
      </c>
      <c r="AH65">
        <v>1965</v>
      </c>
      <c r="AI65">
        <v>9.6224500000000006</v>
      </c>
      <c r="AJ65">
        <v>9.8318480000000008</v>
      </c>
      <c r="AK65" t="e">
        <f>NA()</f>
        <v>#N/A</v>
      </c>
      <c r="AL65" t="e">
        <f>NA()</f>
        <v>#N/A</v>
      </c>
      <c r="AM65" t="e">
        <f>NA()</f>
        <v>#N/A</v>
      </c>
      <c r="AN65">
        <v>1931</v>
      </c>
      <c r="AO65">
        <v>13.02585</v>
      </c>
      <c r="AP65">
        <v>13.22936</v>
      </c>
      <c r="AQ65">
        <v>1943</v>
      </c>
      <c r="AR65">
        <v>11.86007</v>
      </c>
      <c r="AS65">
        <v>10.383929999999999</v>
      </c>
    </row>
    <row r="66" spans="1:45">
      <c r="A66">
        <v>1990</v>
      </c>
      <c r="B66">
        <v>9.6015709999999999</v>
      </c>
      <c r="C66">
        <v>10.595560000000001</v>
      </c>
      <c r="D66">
        <v>1992</v>
      </c>
      <c r="E66">
        <v>13.54632</v>
      </c>
      <c r="F66">
        <v>14.20018</v>
      </c>
      <c r="G66">
        <v>1962</v>
      </c>
      <c r="H66">
        <v>18.006799999999998</v>
      </c>
      <c r="I66">
        <v>18.234490000000001</v>
      </c>
      <c r="J66" t="e">
        <f>NA()</f>
        <v>#N/A</v>
      </c>
      <c r="K66" t="e">
        <f>NA()</f>
        <v>#N/A</v>
      </c>
      <c r="L66" t="e">
        <f>NA()</f>
        <v>#N/A</v>
      </c>
      <c r="M66">
        <v>1964</v>
      </c>
      <c r="N66">
        <v>27.707979999999999</v>
      </c>
      <c r="O66">
        <v>27.55132</v>
      </c>
      <c r="P66" t="e">
        <f>NA()</f>
        <v>#N/A</v>
      </c>
      <c r="Q66" t="e">
        <f>NA()</f>
        <v>#N/A</v>
      </c>
      <c r="R66" t="e">
        <f>NA()</f>
        <v>#N/A</v>
      </c>
      <c r="S66" t="e">
        <f>NA()</f>
        <v>#N/A</v>
      </c>
      <c r="T66" t="e">
        <f>NA()</f>
        <v>#N/A</v>
      </c>
      <c r="U66" t="e">
        <f>NA()</f>
        <v>#N/A</v>
      </c>
      <c r="V66" t="e">
        <f>NA()</f>
        <v>#N/A</v>
      </c>
      <c r="W66" t="e">
        <f>NA()</f>
        <v>#N/A</v>
      </c>
      <c r="X66" t="e">
        <f>NA()</f>
        <v>#N/A</v>
      </c>
      <c r="Y66">
        <v>1892</v>
      </c>
      <c r="Z66">
        <v>7.6372340000000003</v>
      </c>
      <c r="AA66">
        <v>7.8636520000000001</v>
      </c>
      <c r="AB66">
        <v>1932</v>
      </c>
      <c r="AC66">
        <v>5.062595</v>
      </c>
      <c r="AD66">
        <v>5.5774290000000004</v>
      </c>
      <c r="AE66">
        <v>1938</v>
      </c>
      <c r="AF66">
        <v>16.810490000000001</v>
      </c>
      <c r="AG66">
        <v>17.38391</v>
      </c>
      <c r="AH66">
        <v>1966</v>
      </c>
      <c r="AI66">
        <v>9.6691570000000002</v>
      </c>
      <c r="AJ66">
        <v>9.762912</v>
      </c>
      <c r="AK66" t="e">
        <f>NA()</f>
        <v>#N/A</v>
      </c>
      <c r="AL66" t="e">
        <f>NA()</f>
        <v>#N/A</v>
      </c>
      <c r="AM66" t="e">
        <f>NA()</f>
        <v>#N/A</v>
      </c>
      <c r="AN66">
        <v>1932</v>
      </c>
      <c r="AO66">
        <v>12.7484</v>
      </c>
      <c r="AP66">
        <v>13.316599999999999</v>
      </c>
      <c r="AQ66">
        <v>1944</v>
      </c>
      <c r="AR66">
        <v>11.944419999999999</v>
      </c>
      <c r="AS66">
        <v>10.35106</v>
      </c>
    </row>
    <row r="67" spans="1:45">
      <c r="A67">
        <v>1991</v>
      </c>
      <c r="B67">
        <v>9.5805229999999995</v>
      </c>
      <c r="C67">
        <v>10.82098</v>
      </c>
      <c r="D67">
        <v>1993</v>
      </c>
      <c r="E67">
        <v>13.55674</v>
      </c>
      <c r="F67">
        <v>14.31465</v>
      </c>
      <c r="G67">
        <v>1963</v>
      </c>
      <c r="H67">
        <v>18.050409999999999</v>
      </c>
      <c r="I67">
        <v>18.25188</v>
      </c>
      <c r="J67" t="e">
        <f>NA()</f>
        <v>#N/A</v>
      </c>
      <c r="K67" t="e">
        <f>NA()</f>
        <v>#N/A</v>
      </c>
      <c r="L67" t="e">
        <f>NA()</f>
        <v>#N/A</v>
      </c>
      <c r="M67">
        <v>1965</v>
      </c>
      <c r="N67">
        <v>27.779440000000001</v>
      </c>
      <c r="O67">
        <v>27.614360000000001</v>
      </c>
      <c r="P67" t="e">
        <f>NA()</f>
        <v>#N/A</v>
      </c>
      <c r="Q67" t="e">
        <f>NA()</f>
        <v>#N/A</v>
      </c>
      <c r="R67" t="e">
        <f>NA()</f>
        <v>#N/A</v>
      </c>
      <c r="S67" t="e">
        <f>NA()</f>
        <v>#N/A</v>
      </c>
      <c r="T67" t="e">
        <f>NA()</f>
        <v>#N/A</v>
      </c>
      <c r="U67" t="e">
        <f>NA()</f>
        <v>#N/A</v>
      </c>
      <c r="V67" t="e">
        <f>NA()</f>
        <v>#N/A</v>
      </c>
      <c r="W67" t="e">
        <f>NA()</f>
        <v>#N/A</v>
      </c>
      <c r="X67" t="e">
        <f>NA()</f>
        <v>#N/A</v>
      </c>
      <c r="Y67">
        <v>1893</v>
      </c>
      <c r="Z67">
        <v>7.6884560000000004</v>
      </c>
      <c r="AA67">
        <v>8.0153040000000004</v>
      </c>
      <c r="AB67">
        <v>1933</v>
      </c>
      <c r="AC67">
        <v>5.0689039999999999</v>
      </c>
      <c r="AD67">
        <v>5.655386</v>
      </c>
      <c r="AE67">
        <v>1939</v>
      </c>
      <c r="AF67">
        <v>16.853629999999999</v>
      </c>
      <c r="AG67">
        <v>17.34806</v>
      </c>
      <c r="AH67">
        <v>1967</v>
      </c>
      <c r="AI67">
        <v>9.711055</v>
      </c>
      <c r="AJ67">
        <v>9.8370409999999993</v>
      </c>
      <c r="AK67" t="e">
        <f>NA()</f>
        <v>#N/A</v>
      </c>
      <c r="AL67" t="e">
        <f>NA()</f>
        <v>#N/A</v>
      </c>
      <c r="AM67" t="e">
        <f>NA()</f>
        <v>#N/A</v>
      </c>
      <c r="AN67">
        <v>1933</v>
      </c>
      <c r="AO67">
        <v>12.81039</v>
      </c>
      <c r="AP67">
        <v>13.352930000000001</v>
      </c>
      <c r="AQ67">
        <v>1945</v>
      </c>
      <c r="AR67">
        <v>11.90348</v>
      </c>
      <c r="AS67">
        <v>10.37125</v>
      </c>
    </row>
    <row r="68" spans="1:45">
      <c r="A68" t="e">
        <f>NA()</f>
        <v>#N/A</v>
      </c>
      <c r="B68" t="e">
        <f>NA()</f>
        <v>#N/A</v>
      </c>
      <c r="C68" t="e">
        <f>NA()</f>
        <v>#N/A</v>
      </c>
      <c r="D68" t="e">
        <f>NA()</f>
        <v>#N/A</v>
      </c>
      <c r="E68" t="e">
        <f>NA()</f>
        <v>#N/A</v>
      </c>
      <c r="F68" t="e">
        <f>NA()</f>
        <v>#N/A</v>
      </c>
      <c r="G68">
        <v>1964</v>
      </c>
      <c r="H68">
        <v>18.091940000000001</v>
      </c>
      <c r="I68">
        <v>18.218</v>
      </c>
      <c r="J68" t="e">
        <f>NA()</f>
        <v>#N/A</v>
      </c>
      <c r="K68" t="e">
        <f>NA()</f>
        <v>#N/A</v>
      </c>
      <c r="L68" t="e">
        <f>NA()</f>
        <v>#N/A</v>
      </c>
      <c r="M68">
        <v>1966</v>
      </c>
      <c r="N68">
        <v>27.85416</v>
      </c>
      <c r="O68">
        <v>27.67671</v>
      </c>
      <c r="P68" t="e">
        <f>NA()</f>
        <v>#N/A</v>
      </c>
      <c r="Q68" t="e">
        <f>NA()</f>
        <v>#N/A</v>
      </c>
      <c r="R68" t="e">
        <f>NA()</f>
        <v>#N/A</v>
      </c>
      <c r="S68" t="e">
        <f>NA()</f>
        <v>#N/A</v>
      </c>
      <c r="T68" t="e">
        <f>NA()</f>
        <v>#N/A</v>
      </c>
      <c r="U68" t="e">
        <f>NA()</f>
        <v>#N/A</v>
      </c>
      <c r="V68" t="e">
        <f>NA()</f>
        <v>#N/A</v>
      </c>
      <c r="W68" t="e">
        <f>NA()</f>
        <v>#N/A</v>
      </c>
      <c r="X68" t="e">
        <f>NA()</f>
        <v>#N/A</v>
      </c>
      <c r="Y68">
        <v>1894</v>
      </c>
      <c r="Z68">
        <v>7.6912000000000003</v>
      </c>
      <c r="AA68">
        <v>8.1389490000000002</v>
      </c>
      <c r="AB68">
        <v>1934</v>
      </c>
      <c r="AC68">
        <v>5.1357980000000003</v>
      </c>
      <c r="AD68">
        <v>5.5562560000000003</v>
      </c>
      <c r="AE68">
        <v>1940</v>
      </c>
      <c r="AF68">
        <v>16.905049999999999</v>
      </c>
      <c r="AG68">
        <v>17.316279999999999</v>
      </c>
      <c r="AH68">
        <v>1968</v>
      </c>
      <c r="AI68">
        <v>9.7581150000000001</v>
      </c>
      <c r="AJ68">
        <v>9.8237769999999998</v>
      </c>
      <c r="AK68" t="e">
        <f>NA()</f>
        <v>#N/A</v>
      </c>
      <c r="AL68" t="e">
        <f>NA()</f>
        <v>#N/A</v>
      </c>
      <c r="AM68" t="e">
        <f>NA()</f>
        <v>#N/A</v>
      </c>
      <c r="AN68">
        <v>1934</v>
      </c>
      <c r="AO68">
        <v>12.88664</v>
      </c>
      <c r="AP68">
        <v>13.349919999999999</v>
      </c>
      <c r="AQ68">
        <v>1946</v>
      </c>
      <c r="AR68">
        <v>11.554169999999999</v>
      </c>
      <c r="AS68">
        <v>10.47612</v>
      </c>
    </row>
    <row r="69" spans="1:45">
      <c r="A69" t="e">
        <f>NA()</f>
        <v>#N/A</v>
      </c>
      <c r="B69" t="e">
        <f>NA()</f>
        <v>#N/A</v>
      </c>
      <c r="C69" t="e">
        <f>NA()</f>
        <v>#N/A</v>
      </c>
      <c r="D69" t="e">
        <f>NA()</f>
        <v>#N/A</v>
      </c>
      <c r="E69" t="e">
        <f>NA()</f>
        <v>#N/A</v>
      </c>
      <c r="F69" t="e">
        <f>NA()</f>
        <v>#N/A</v>
      </c>
      <c r="G69">
        <v>1965</v>
      </c>
      <c r="H69">
        <v>18.136430000000001</v>
      </c>
      <c r="I69">
        <v>18.158090000000001</v>
      </c>
      <c r="J69" t="e">
        <f>NA()</f>
        <v>#N/A</v>
      </c>
      <c r="K69" t="e">
        <f>NA()</f>
        <v>#N/A</v>
      </c>
      <c r="L69" t="e">
        <f>NA()</f>
        <v>#N/A</v>
      </c>
      <c r="M69">
        <v>1967</v>
      </c>
      <c r="N69">
        <v>27.908650000000002</v>
      </c>
      <c r="O69">
        <v>27.732849999999999</v>
      </c>
      <c r="P69" t="e">
        <f>NA()</f>
        <v>#N/A</v>
      </c>
      <c r="Q69" t="e">
        <f>NA()</f>
        <v>#N/A</v>
      </c>
      <c r="R69" t="e">
        <f>NA()</f>
        <v>#N/A</v>
      </c>
      <c r="S69" t="e">
        <f>NA()</f>
        <v>#N/A</v>
      </c>
      <c r="T69" t="e">
        <f>NA()</f>
        <v>#N/A</v>
      </c>
      <c r="U69" t="e">
        <f>NA()</f>
        <v>#N/A</v>
      </c>
      <c r="V69" t="e">
        <f>NA()</f>
        <v>#N/A</v>
      </c>
      <c r="W69" t="e">
        <f>NA()</f>
        <v>#N/A</v>
      </c>
      <c r="X69" t="e">
        <f>NA()</f>
        <v>#N/A</v>
      </c>
      <c r="Y69">
        <v>1895</v>
      </c>
      <c r="Z69">
        <v>7.7021050000000004</v>
      </c>
      <c r="AA69">
        <v>8.0726569999999995</v>
      </c>
      <c r="AB69">
        <v>1935</v>
      </c>
      <c r="AC69">
        <v>5.2574949999999996</v>
      </c>
      <c r="AD69">
        <v>5.4599089999999997</v>
      </c>
      <c r="AE69">
        <v>1941</v>
      </c>
      <c r="AF69">
        <v>16.975359999999998</v>
      </c>
      <c r="AG69">
        <v>17.120370000000001</v>
      </c>
      <c r="AH69">
        <v>1969</v>
      </c>
      <c r="AI69">
        <v>9.8112630000000003</v>
      </c>
      <c r="AJ69">
        <v>9.8682920000000003</v>
      </c>
      <c r="AK69" t="e">
        <f>NA()</f>
        <v>#N/A</v>
      </c>
      <c r="AL69" t="e">
        <f>NA()</f>
        <v>#N/A</v>
      </c>
      <c r="AM69" t="e">
        <f>NA()</f>
        <v>#N/A</v>
      </c>
      <c r="AN69">
        <v>1935</v>
      </c>
      <c r="AO69">
        <v>12.96921</v>
      </c>
      <c r="AP69">
        <v>13.347910000000001</v>
      </c>
      <c r="AQ69">
        <v>1947</v>
      </c>
      <c r="AR69">
        <v>11.21162</v>
      </c>
      <c r="AS69">
        <v>10.496230000000001</v>
      </c>
    </row>
    <row r="70" spans="1:45">
      <c r="A70" t="e">
        <f>NA()</f>
        <v>#N/A</v>
      </c>
      <c r="B70" t="e">
        <f>NA()</f>
        <v>#N/A</v>
      </c>
      <c r="C70" t="e">
        <f>NA()</f>
        <v>#N/A</v>
      </c>
      <c r="D70" t="e">
        <f>NA()</f>
        <v>#N/A</v>
      </c>
      <c r="E70" t="e">
        <f>NA()</f>
        <v>#N/A</v>
      </c>
      <c r="F70" t="e">
        <f>NA()</f>
        <v>#N/A</v>
      </c>
      <c r="G70">
        <v>1966</v>
      </c>
      <c r="H70">
        <v>18.173860000000001</v>
      </c>
      <c r="I70">
        <v>18.087900000000001</v>
      </c>
      <c r="J70" t="e">
        <f>NA()</f>
        <v>#N/A</v>
      </c>
      <c r="K70" t="e">
        <f>NA()</f>
        <v>#N/A</v>
      </c>
      <c r="L70" t="e">
        <f>NA()</f>
        <v>#N/A</v>
      </c>
      <c r="M70">
        <v>1968</v>
      </c>
      <c r="N70">
        <v>27.995660000000001</v>
      </c>
      <c r="O70">
        <v>27.791260000000001</v>
      </c>
      <c r="P70" t="e">
        <f>NA()</f>
        <v>#N/A</v>
      </c>
      <c r="Q70" t="e">
        <f>NA()</f>
        <v>#N/A</v>
      </c>
      <c r="R70" t="e">
        <f>NA()</f>
        <v>#N/A</v>
      </c>
      <c r="S70" t="e">
        <f>NA()</f>
        <v>#N/A</v>
      </c>
      <c r="T70" t="e">
        <f>NA()</f>
        <v>#N/A</v>
      </c>
      <c r="U70" t="e">
        <f>NA()</f>
        <v>#N/A</v>
      </c>
      <c r="V70" t="e">
        <f>NA()</f>
        <v>#N/A</v>
      </c>
      <c r="W70" t="e">
        <f>NA()</f>
        <v>#N/A</v>
      </c>
      <c r="X70" t="e">
        <f>NA()</f>
        <v>#N/A</v>
      </c>
      <c r="Y70">
        <v>1896</v>
      </c>
      <c r="Z70">
        <v>7.743703</v>
      </c>
      <c r="AA70">
        <v>8.1828880000000002</v>
      </c>
      <c r="AB70">
        <v>1936</v>
      </c>
      <c r="AC70">
        <v>5.351858</v>
      </c>
      <c r="AD70">
        <v>5.2517779999999998</v>
      </c>
      <c r="AE70">
        <v>1942</v>
      </c>
      <c r="AF70">
        <v>17.033190000000001</v>
      </c>
      <c r="AG70">
        <v>16.900130000000001</v>
      </c>
      <c r="AH70">
        <v>1970</v>
      </c>
      <c r="AI70">
        <v>9.8626649999999998</v>
      </c>
      <c r="AJ70">
        <v>10.03149</v>
      </c>
      <c r="AK70" t="e">
        <f>NA()</f>
        <v>#N/A</v>
      </c>
      <c r="AL70" t="e">
        <f>NA()</f>
        <v>#N/A</v>
      </c>
      <c r="AM70" t="e">
        <f>NA()</f>
        <v>#N/A</v>
      </c>
      <c r="AN70">
        <v>1936</v>
      </c>
      <c r="AO70">
        <v>13.118359999999999</v>
      </c>
      <c r="AP70">
        <v>13.320460000000001</v>
      </c>
      <c r="AQ70">
        <v>1948</v>
      </c>
      <c r="AR70">
        <v>11.10261</v>
      </c>
      <c r="AS70">
        <v>10.48981</v>
      </c>
    </row>
    <row r="71" spans="1:45">
      <c r="A71" t="e">
        <f>NA()</f>
        <v>#N/A</v>
      </c>
      <c r="B71" t="e">
        <f>NA()</f>
        <v>#N/A</v>
      </c>
      <c r="C71" t="e">
        <f>NA()</f>
        <v>#N/A</v>
      </c>
      <c r="D71" t="e">
        <f>NA()</f>
        <v>#N/A</v>
      </c>
      <c r="E71" t="e">
        <f>NA()</f>
        <v>#N/A</v>
      </c>
      <c r="F71" t="e">
        <f>NA()</f>
        <v>#N/A</v>
      </c>
      <c r="G71">
        <v>1967</v>
      </c>
      <c r="H71">
        <v>18.20261</v>
      </c>
      <c r="I71">
        <v>18.149190000000001</v>
      </c>
      <c r="J71" t="e">
        <f>NA()</f>
        <v>#N/A</v>
      </c>
      <c r="K71" t="e">
        <f>NA()</f>
        <v>#N/A</v>
      </c>
      <c r="L71" t="e">
        <f>NA()</f>
        <v>#N/A</v>
      </c>
      <c r="M71">
        <v>1969</v>
      </c>
      <c r="N71">
        <v>28.069279999999999</v>
      </c>
      <c r="O71">
        <v>27.847159999999999</v>
      </c>
      <c r="P71" t="e">
        <f>NA()</f>
        <v>#N/A</v>
      </c>
      <c r="Q71" t="e">
        <f>NA()</f>
        <v>#N/A</v>
      </c>
      <c r="R71" t="e">
        <f>NA()</f>
        <v>#N/A</v>
      </c>
      <c r="S71" t="e">
        <f>NA()</f>
        <v>#N/A</v>
      </c>
      <c r="T71" t="e">
        <f>NA()</f>
        <v>#N/A</v>
      </c>
      <c r="U71" t="e">
        <f>NA()</f>
        <v>#N/A</v>
      </c>
      <c r="V71" t="e">
        <f>NA()</f>
        <v>#N/A</v>
      </c>
      <c r="W71" t="e">
        <f>NA()</f>
        <v>#N/A</v>
      </c>
      <c r="X71" t="e">
        <f>NA()</f>
        <v>#N/A</v>
      </c>
      <c r="Y71">
        <v>1897</v>
      </c>
      <c r="Z71">
        <v>7.7659929999999999</v>
      </c>
      <c r="AA71">
        <v>8.1447880000000001</v>
      </c>
      <c r="AB71">
        <v>1937</v>
      </c>
      <c r="AC71">
        <v>5.3936279999999996</v>
      </c>
      <c r="AD71">
        <v>5.2116879999999997</v>
      </c>
      <c r="AE71">
        <v>1943</v>
      </c>
      <c r="AF71">
        <v>17.090160000000001</v>
      </c>
      <c r="AG71">
        <v>16.689720000000001</v>
      </c>
      <c r="AH71">
        <v>1971</v>
      </c>
      <c r="AI71">
        <v>9.9183760000000003</v>
      </c>
      <c r="AJ71">
        <v>10.0892</v>
      </c>
      <c r="AK71" t="e">
        <f>NA()</f>
        <v>#N/A</v>
      </c>
      <c r="AL71" t="e">
        <f>NA()</f>
        <v>#N/A</v>
      </c>
      <c r="AM71" t="e">
        <f>NA()</f>
        <v>#N/A</v>
      </c>
      <c r="AN71">
        <v>1937</v>
      </c>
      <c r="AO71">
        <v>13.180630000000001</v>
      </c>
      <c r="AP71">
        <v>13.330209999999999</v>
      </c>
      <c r="AQ71">
        <v>1949</v>
      </c>
      <c r="AR71">
        <v>10.94272</v>
      </c>
      <c r="AS71">
        <v>10.49832</v>
      </c>
    </row>
    <row r="72" spans="1:45">
      <c r="A72" t="e">
        <f>NA()</f>
        <v>#N/A</v>
      </c>
      <c r="B72" t="e">
        <f>NA()</f>
        <v>#N/A</v>
      </c>
      <c r="C72" t="e">
        <f>NA()</f>
        <v>#N/A</v>
      </c>
      <c r="D72" t="e">
        <f>NA()</f>
        <v>#N/A</v>
      </c>
      <c r="E72" t="e">
        <f>NA()</f>
        <v>#N/A</v>
      </c>
      <c r="F72" t="e">
        <f>NA()</f>
        <v>#N/A</v>
      </c>
      <c r="G72">
        <v>1968</v>
      </c>
      <c r="H72">
        <v>18.241599999999998</v>
      </c>
      <c r="I72">
        <v>18.130130000000001</v>
      </c>
      <c r="J72" t="e">
        <f>NA()</f>
        <v>#N/A</v>
      </c>
      <c r="K72" t="e">
        <f>NA()</f>
        <v>#N/A</v>
      </c>
      <c r="L72" t="e">
        <f>NA()</f>
        <v>#N/A</v>
      </c>
      <c r="M72">
        <v>1970</v>
      </c>
      <c r="N72">
        <v>28.125720000000001</v>
      </c>
      <c r="O72">
        <v>27.900410000000001</v>
      </c>
      <c r="P72" t="e">
        <f>NA()</f>
        <v>#N/A</v>
      </c>
      <c r="Q72" t="e">
        <f>NA()</f>
        <v>#N/A</v>
      </c>
      <c r="R72" t="e">
        <f>NA()</f>
        <v>#N/A</v>
      </c>
      <c r="S72" t="e">
        <f>NA()</f>
        <v>#N/A</v>
      </c>
      <c r="T72" t="e">
        <f>NA()</f>
        <v>#N/A</v>
      </c>
      <c r="U72" t="e">
        <f>NA()</f>
        <v>#N/A</v>
      </c>
      <c r="V72" t="e">
        <f>NA()</f>
        <v>#N/A</v>
      </c>
      <c r="W72" t="e">
        <f>NA()</f>
        <v>#N/A</v>
      </c>
      <c r="X72" t="e">
        <f>NA()</f>
        <v>#N/A</v>
      </c>
      <c r="Y72">
        <v>1898</v>
      </c>
      <c r="Z72">
        <v>7.7714889999999999</v>
      </c>
      <c r="AA72">
        <v>8.1988479999999999</v>
      </c>
      <c r="AB72">
        <v>1938</v>
      </c>
      <c r="AC72">
        <v>5.3181200000000004</v>
      </c>
      <c r="AD72">
        <v>5.329688</v>
      </c>
      <c r="AE72">
        <v>1944</v>
      </c>
      <c r="AF72">
        <v>17.108160000000002</v>
      </c>
      <c r="AG72">
        <v>16.656580000000002</v>
      </c>
      <c r="AH72">
        <v>1972</v>
      </c>
      <c r="AI72">
        <v>9.9850670000000008</v>
      </c>
      <c r="AJ72">
        <v>10.058020000000001</v>
      </c>
      <c r="AK72" t="e">
        <f>NA()</f>
        <v>#N/A</v>
      </c>
      <c r="AL72" t="e">
        <f>NA()</f>
        <v>#N/A</v>
      </c>
      <c r="AM72" t="e">
        <f>NA()</f>
        <v>#N/A</v>
      </c>
      <c r="AN72">
        <v>1938</v>
      </c>
      <c r="AO72">
        <v>12.96219</v>
      </c>
      <c r="AP72">
        <v>13.37654</v>
      </c>
      <c r="AQ72">
        <v>1950</v>
      </c>
      <c r="AR72">
        <v>10.84273</v>
      </c>
      <c r="AS72">
        <v>10.46982</v>
      </c>
    </row>
    <row r="73" spans="1:45">
      <c r="A73" t="e">
        <f>NA()</f>
        <v>#N/A</v>
      </c>
      <c r="B73" t="e">
        <f>NA()</f>
        <v>#N/A</v>
      </c>
      <c r="C73" t="e">
        <f>NA()</f>
        <v>#N/A</v>
      </c>
      <c r="D73" t="e">
        <f>NA()</f>
        <v>#N/A</v>
      </c>
      <c r="E73" t="e">
        <f>NA()</f>
        <v>#N/A</v>
      </c>
      <c r="F73" t="e">
        <f>NA()</f>
        <v>#N/A</v>
      </c>
      <c r="G73">
        <v>1969</v>
      </c>
      <c r="H73">
        <v>18.279789999999998</v>
      </c>
      <c r="I73">
        <v>18.164210000000001</v>
      </c>
      <c r="J73" t="e">
        <f>NA()</f>
        <v>#N/A</v>
      </c>
      <c r="K73" t="e">
        <f>NA()</f>
        <v>#N/A</v>
      </c>
      <c r="L73" t="e">
        <f>NA()</f>
        <v>#N/A</v>
      </c>
      <c r="M73">
        <v>1971</v>
      </c>
      <c r="N73">
        <v>28.173349999999999</v>
      </c>
      <c r="O73">
        <v>27.958590000000001</v>
      </c>
      <c r="P73" t="e">
        <f>NA()</f>
        <v>#N/A</v>
      </c>
      <c r="Q73" t="e">
        <f>NA()</f>
        <v>#N/A</v>
      </c>
      <c r="R73" t="e">
        <f>NA()</f>
        <v>#N/A</v>
      </c>
      <c r="S73" t="e">
        <f>NA()</f>
        <v>#N/A</v>
      </c>
      <c r="T73" t="e">
        <f>NA()</f>
        <v>#N/A</v>
      </c>
      <c r="U73" t="e">
        <f>NA()</f>
        <v>#N/A</v>
      </c>
      <c r="V73" t="e">
        <f>NA()</f>
        <v>#N/A</v>
      </c>
      <c r="W73" t="e">
        <f>NA()</f>
        <v>#N/A</v>
      </c>
      <c r="X73" t="e">
        <f>NA()</f>
        <v>#N/A</v>
      </c>
      <c r="Y73">
        <v>1899</v>
      </c>
      <c r="Z73">
        <v>7.8144</v>
      </c>
      <c r="AA73">
        <v>8.1644079999999999</v>
      </c>
      <c r="AB73">
        <v>1939</v>
      </c>
      <c r="AC73">
        <v>5.3375380000000003</v>
      </c>
      <c r="AD73">
        <v>5.2303810000000004</v>
      </c>
      <c r="AE73">
        <v>1945</v>
      </c>
      <c r="AF73">
        <v>17.144929999999999</v>
      </c>
      <c r="AG73">
        <v>16.839749999999999</v>
      </c>
      <c r="AH73">
        <v>1973</v>
      </c>
      <c r="AI73">
        <v>10.073230000000001</v>
      </c>
      <c r="AJ73">
        <v>10.00723</v>
      </c>
      <c r="AK73" t="e">
        <f>NA()</f>
        <v>#N/A</v>
      </c>
      <c r="AL73" t="e">
        <f>NA()</f>
        <v>#N/A</v>
      </c>
      <c r="AM73" t="e">
        <f>NA()</f>
        <v>#N/A</v>
      </c>
      <c r="AN73">
        <v>1939</v>
      </c>
      <c r="AO73">
        <v>13.10216</v>
      </c>
      <c r="AP73">
        <v>13.374510000000001</v>
      </c>
      <c r="AQ73">
        <v>1951</v>
      </c>
      <c r="AR73">
        <v>10.928599999999999</v>
      </c>
      <c r="AS73">
        <v>10.44627</v>
      </c>
    </row>
    <row r="74" spans="1:45">
      <c r="A74" t="e">
        <f>NA()</f>
        <v>#N/A</v>
      </c>
      <c r="B74" t="e">
        <f>NA()</f>
        <v>#N/A</v>
      </c>
      <c r="C74" t="e">
        <f>NA()</f>
        <v>#N/A</v>
      </c>
      <c r="D74" t="e">
        <f>NA()</f>
        <v>#N/A</v>
      </c>
      <c r="E74" t="e">
        <f>NA()</f>
        <v>#N/A</v>
      </c>
      <c r="F74" t="e">
        <f>NA()</f>
        <v>#N/A</v>
      </c>
      <c r="G74">
        <v>1970</v>
      </c>
      <c r="H74">
        <v>18.30639</v>
      </c>
      <c r="I74">
        <v>18.307549999999999</v>
      </c>
      <c r="J74" t="e">
        <f>NA()</f>
        <v>#N/A</v>
      </c>
      <c r="K74" t="e">
        <f>NA()</f>
        <v>#N/A</v>
      </c>
      <c r="L74" t="e">
        <f>NA()</f>
        <v>#N/A</v>
      </c>
      <c r="M74">
        <v>1972</v>
      </c>
      <c r="N74">
        <v>28.246210000000001</v>
      </c>
      <c r="O74">
        <v>28.018039999999999</v>
      </c>
      <c r="P74" t="e">
        <f>NA()</f>
        <v>#N/A</v>
      </c>
      <c r="Q74" t="e">
        <f>NA()</f>
        <v>#N/A</v>
      </c>
      <c r="R74" t="e">
        <f>NA()</f>
        <v>#N/A</v>
      </c>
      <c r="S74" t="e">
        <f>NA()</f>
        <v>#N/A</v>
      </c>
      <c r="T74" t="e">
        <f>NA()</f>
        <v>#N/A</v>
      </c>
      <c r="U74" t="e">
        <f>NA()</f>
        <v>#N/A</v>
      </c>
      <c r="V74" t="e">
        <f>NA()</f>
        <v>#N/A</v>
      </c>
      <c r="W74" t="e">
        <f>NA()</f>
        <v>#N/A</v>
      </c>
      <c r="X74" t="e">
        <f>NA()</f>
        <v>#N/A</v>
      </c>
      <c r="Y74">
        <v>1900</v>
      </c>
      <c r="Z74">
        <v>7.8853289999999996</v>
      </c>
      <c r="AA74">
        <v>8.2082029999999992</v>
      </c>
      <c r="AB74">
        <v>1940</v>
      </c>
      <c r="AC74">
        <v>5.3375380000000003</v>
      </c>
      <c r="AD74">
        <v>5.1353280000000003</v>
      </c>
      <c r="AE74">
        <v>1946</v>
      </c>
      <c r="AF74">
        <v>17.27094</v>
      </c>
      <c r="AG74">
        <v>17.36467</v>
      </c>
      <c r="AH74">
        <v>1974</v>
      </c>
      <c r="AI74">
        <v>10.13062</v>
      </c>
      <c r="AJ74">
        <v>10.17385</v>
      </c>
      <c r="AK74" t="e">
        <f>NA()</f>
        <v>#N/A</v>
      </c>
      <c r="AL74" t="e">
        <f>NA()</f>
        <v>#N/A</v>
      </c>
      <c r="AM74" t="e">
        <f>NA()</f>
        <v>#N/A</v>
      </c>
      <c r="AN74">
        <v>1940</v>
      </c>
      <c r="AO74">
        <v>13.214029999999999</v>
      </c>
      <c r="AP74">
        <v>13.3735</v>
      </c>
      <c r="AQ74">
        <v>1952</v>
      </c>
      <c r="AR74">
        <v>10.910920000000001</v>
      </c>
      <c r="AS74">
        <v>10.43938</v>
      </c>
    </row>
    <row r="75" spans="1:45">
      <c r="A75" t="e">
        <f>NA()</f>
        <v>#N/A</v>
      </c>
      <c r="B75" t="e">
        <f>NA()</f>
        <v>#N/A</v>
      </c>
      <c r="C75" t="e">
        <f>NA()</f>
        <v>#N/A</v>
      </c>
      <c r="D75" t="e">
        <f>NA()</f>
        <v>#N/A</v>
      </c>
      <c r="E75" t="e">
        <f>NA()</f>
        <v>#N/A</v>
      </c>
      <c r="F75" t="e">
        <f>NA()</f>
        <v>#N/A</v>
      </c>
      <c r="G75">
        <v>1971</v>
      </c>
      <c r="H75">
        <v>18.34488</v>
      </c>
      <c r="I75">
        <v>18.35406</v>
      </c>
      <c r="J75" t="e">
        <f>NA()</f>
        <v>#N/A</v>
      </c>
      <c r="K75" t="e">
        <f>NA()</f>
        <v>#N/A</v>
      </c>
      <c r="L75" t="e">
        <f>NA()</f>
        <v>#N/A</v>
      </c>
      <c r="M75">
        <v>1973</v>
      </c>
      <c r="N75">
        <v>28.30397</v>
      </c>
      <c r="O75">
        <v>28.07694</v>
      </c>
      <c r="P75" t="e">
        <f>NA()</f>
        <v>#N/A</v>
      </c>
      <c r="Q75" t="e">
        <f>NA()</f>
        <v>#N/A</v>
      </c>
      <c r="R75" t="e">
        <f>NA()</f>
        <v>#N/A</v>
      </c>
      <c r="S75" t="e">
        <f>NA()</f>
        <v>#N/A</v>
      </c>
      <c r="T75" t="e">
        <f>NA()</f>
        <v>#N/A</v>
      </c>
      <c r="U75" t="e">
        <f>NA()</f>
        <v>#N/A</v>
      </c>
      <c r="V75" t="e">
        <f>NA()</f>
        <v>#N/A</v>
      </c>
      <c r="W75" t="e">
        <f>NA()</f>
        <v>#N/A</v>
      </c>
      <c r="X75" t="e">
        <f>NA()</f>
        <v>#N/A</v>
      </c>
      <c r="Y75">
        <v>1901</v>
      </c>
      <c r="Z75">
        <v>7.9796810000000002</v>
      </c>
      <c r="AA75">
        <v>8.1516999999999999</v>
      </c>
      <c r="AB75">
        <v>1941</v>
      </c>
      <c r="AC75">
        <v>5.4249499999999999</v>
      </c>
      <c r="AD75">
        <v>4.8714279999999999</v>
      </c>
      <c r="AE75">
        <v>1947</v>
      </c>
      <c r="AF75">
        <v>17.36909</v>
      </c>
      <c r="AG75">
        <v>17.523630000000001</v>
      </c>
      <c r="AH75">
        <v>1975</v>
      </c>
      <c r="AI75">
        <v>10.17351</v>
      </c>
      <c r="AJ75">
        <v>10.34357</v>
      </c>
      <c r="AK75" t="e">
        <f>NA()</f>
        <v>#N/A</v>
      </c>
      <c r="AL75" t="e">
        <f>NA()</f>
        <v>#N/A</v>
      </c>
      <c r="AM75" t="e">
        <f>NA()</f>
        <v>#N/A</v>
      </c>
      <c r="AN75">
        <v>1941</v>
      </c>
      <c r="AO75">
        <v>13.45454</v>
      </c>
      <c r="AP75">
        <v>13.33573</v>
      </c>
      <c r="AQ75">
        <v>1953</v>
      </c>
      <c r="AR75">
        <v>10.839230000000001</v>
      </c>
      <c r="AS75">
        <v>10.427809999999999</v>
      </c>
    </row>
    <row r="76" spans="1:45">
      <c r="A76" t="e">
        <f>NA()</f>
        <v>#N/A</v>
      </c>
      <c r="B76" t="e">
        <f>NA()</f>
        <v>#N/A</v>
      </c>
      <c r="C76" t="e">
        <f>NA()</f>
        <v>#N/A</v>
      </c>
      <c r="D76" t="e">
        <f>NA()</f>
        <v>#N/A</v>
      </c>
      <c r="E76" t="e">
        <f>NA()</f>
        <v>#N/A</v>
      </c>
      <c r="F76" t="e">
        <f>NA()</f>
        <v>#N/A</v>
      </c>
      <c r="G76">
        <v>1972</v>
      </c>
      <c r="H76">
        <v>18.391249999999999</v>
      </c>
      <c r="I76">
        <v>18.318770000000001</v>
      </c>
      <c r="J76" t="e">
        <f>NA()</f>
        <v>#N/A</v>
      </c>
      <c r="K76" t="e">
        <f>NA()</f>
        <v>#N/A</v>
      </c>
      <c r="L76" t="e">
        <f>NA()</f>
        <v>#N/A</v>
      </c>
      <c r="M76">
        <v>1974</v>
      </c>
      <c r="N76">
        <v>28.309059999999999</v>
      </c>
      <c r="O76">
        <v>28.127079999999999</v>
      </c>
      <c r="P76" t="e">
        <f>NA()</f>
        <v>#N/A</v>
      </c>
      <c r="Q76" t="e">
        <f>NA()</f>
        <v>#N/A</v>
      </c>
      <c r="R76" t="e">
        <f>NA()</f>
        <v>#N/A</v>
      </c>
      <c r="S76" t="e">
        <f>NA()</f>
        <v>#N/A</v>
      </c>
      <c r="T76" t="e">
        <f>NA()</f>
        <v>#N/A</v>
      </c>
      <c r="U76" t="e">
        <f>NA()</f>
        <v>#N/A</v>
      </c>
      <c r="V76" t="e">
        <f>NA()</f>
        <v>#N/A</v>
      </c>
      <c r="W76" t="e">
        <f>NA()</f>
        <v>#N/A</v>
      </c>
      <c r="X76" t="e">
        <f>NA()</f>
        <v>#N/A</v>
      </c>
      <c r="Y76">
        <v>1902</v>
      </c>
      <c r="Z76">
        <v>8.0636930000000007</v>
      </c>
      <c r="AA76">
        <v>8.2237580000000001</v>
      </c>
      <c r="AB76">
        <v>1942</v>
      </c>
      <c r="AC76">
        <v>5.463832</v>
      </c>
      <c r="AD76">
        <v>4.5825180000000003</v>
      </c>
      <c r="AE76">
        <v>1948</v>
      </c>
      <c r="AF76">
        <v>17.460540000000002</v>
      </c>
      <c r="AG76">
        <v>17.582350000000002</v>
      </c>
      <c r="AH76">
        <v>1976</v>
      </c>
      <c r="AI76">
        <v>10.25414</v>
      </c>
      <c r="AJ76">
        <v>10.30707</v>
      </c>
      <c r="AK76" t="e">
        <f>NA()</f>
        <v>#N/A</v>
      </c>
      <c r="AL76" t="e">
        <f>NA()</f>
        <v>#N/A</v>
      </c>
      <c r="AM76" t="e">
        <f>NA()</f>
        <v>#N/A</v>
      </c>
      <c r="AN76">
        <v>1942</v>
      </c>
      <c r="AO76">
        <v>13.749370000000001</v>
      </c>
      <c r="AP76">
        <v>13.29325</v>
      </c>
      <c r="AQ76">
        <v>1954</v>
      </c>
      <c r="AR76">
        <v>10.761509999999999</v>
      </c>
      <c r="AS76">
        <v>10.44084</v>
      </c>
    </row>
    <row r="77" spans="1:45">
      <c r="A77" t="e">
        <f>NA()</f>
        <v>#N/A</v>
      </c>
      <c r="B77" t="e">
        <f>NA()</f>
        <v>#N/A</v>
      </c>
      <c r="C77" t="e">
        <f>NA()</f>
        <v>#N/A</v>
      </c>
      <c r="D77" t="e">
        <f>NA()</f>
        <v>#N/A</v>
      </c>
      <c r="E77" t="e">
        <f>NA()</f>
        <v>#N/A</v>
      </c>
      <c r="F77" t="e">
        <f>NA()</f>
        <v>#N/A</v>
      </c>
      <c r="G77">
        <v>1973</v>
      </c>
      <c r="H77">
        <v>18.440480000000001</v>
      </c>
      <c r="I77">
        <v>18.2654</v>
      </c>
      <c r="J77" t="e">
        <f>NA()</f>
        <v>#N/A</v>
      </c>
      <c r="K77" t="e">
        <f>NA()</f>
        <v>#N/A</v>
      </c>
      <c r="L77" t="e">
        <f>NA()</f>
        <v>#N/A</v>
      </c>
      <c r="M77">
        <v>1975</v>
      </c>
      <c r="N77">
        <v>28.324169999999999</v>
      </c>
      <c r="O77">
        <v>28.177759999999999</v>
      </c>
      <c r="P77" t="e">
        <f>NA()</f>
        <v>#N/A</v>
      </c>
      <c r="Q77" t="e">
        <f>NA()</f>
        <v>#N/A</v>
      </c>
      <c r="R77" t="e">
        <f>NA()</f>
        <v>#N/A</v>
      </c>
      <c r="S77" t="e">
        <f>NA()</f>
        <v>#N/A</v>
      </c>
      <c r="T77" t="e">
        <f>NA()</f>
        <v>#N/A</v>
      </c>
      <c r="U77" t="e">
        <f>NA()</f>
        <v>#N/A</v>
      </c>
      <c r="V77" t="e">
        <f>NA()</f>
        <v>#N/A</v>
      </c>
      <c r="W77" t="e">
        <f>NA()</f>
        <v>#N/A</v>
      </c>
      <c r="X77" t="e">
        <f>NA()</f>
        <v>#N/A</v>
      </c>
      <c r="Y77">
        <v>1903</v>
      </c>
      <c r="Z77">
        <v>8.1338810000000006</v>
      </c>
      <c r="AA77">
        <v>8.2428279999999994</v>
      </c>
      <c r="AB77">
        <v>1943</v>
      </c>
      <c r="AC77">
        <v>5.5134290000000004</v>
      </c>
      <c r="AD77">
        <v>4.3037099999999997</v>
      </c>
      <c r="AE77">
        <v>1949</v>
      </c>
      <c r="AF77">
        <v>17.524139999999999</v>
      </c>
      <c r="AG77">
        <v>17.70112</v>
      </c>
      <c r="AH77">
        <v>1977</v>
      </c>
      <c r="AI77">
        <v>10.30226</v>
      </c>
      <c r="AJ77">
        <v>10.29852</v>
      </c>
      <c r="AK77" t="e">
        <f>NA()</f>
        <v>#N/A</v>
      </c>
      <c r="AL77" t="e">
        <f>NA()</f>
        <v>#N/A</v>
      </c>
      <c r="AM77" t="e">
        <f>NA()</f>
        <v>#N/A</v>
      </c>
      <c r="AN77">
        <v>1943</v>
      </c>
      <c r="AO77">
        <v>13.910819999999999</v>
      </c>
      <c r="AP77">
        <v>13.255269999999999</v>
      </c>
      <c r="AQ77">
        <v>1955</v>
      </c>
      <c r="AR77">
        <v>10.73518</v>
      </c>
      <c r="AS77">
        <v>10.420109999999999</v>
      </c>
    </row>
    <row r="78" spans="1:45">
      <c r="A78" t="e">
        <f>NA()</f>
        <v>#N/A</v>
      </c>
      <c r="B78" t="e">
        <f>NA()</f>
        <v>#N/A</v>
      </c>
      <c r="C78" t="e">
        <f>NA()</f>
        <v>#N/A</v>
      </c>
      <c r="D78" t="e">
        <f>NA()</f>
        <v>#N/A</v>
      </c>
      <c r="E78" t="e">
        <f>NA()</f>
        <v>#N/A</v>
      </c>
      <c r="F78" t="e">
        <f>NA()</f>
        <v>#N/A</v>
      </c>
      <c r="G78">
        <v>1974</v>
      </c>
      <c r="H78">
        <v>18.469470000000001</v>
      </c>
      <c r="I78">
        <v>18.411840000000002</v>
      </c>
      <c r="J78" t="e">
        <f>NA()</f>
        <v>#N/A</v>
      </c>
      <c r="K78" t="e">
        <f>NA()</f>
        <v>#N/A</v>
      </c>
      <c r="L78" t="e">
        <f>NA()</f>
        <v>#N/A</v>
      </c>
      <c r="M78">
        <v>1976</v>
      </c>
      <c r="N78">
        <v>28.382439999999999</v>
      </c>
      <c r="O78">
        <v>28.23582</v>
      </c>
      <c r="P78" t="e">
        <f>NA()</f>
        <v>#N/A</v>
      </c>
      <c r="Q78" t="e">
        <f>NA()</f>
        <v>#N/A</v>
      </c>
      <c r="R78" t="e">
        <f>NA()</f>
        <v>#N/A</v>
      </c>
      <c r="S78" t="e">
        <f>NA()</f>
        <v>#N/A</v>
      </c>
      <c r="T78" t="e">
        <f>NA()</f>
        <v>#N/A</v>
      </c>
      <c r="U78" t="e">
        <f>NA()</f>
        <v>#N/A</v>
      </c>
      <c r="V78" t="e">
        <f>NA()</f>
        <v>#N/A</v>
      </c>
      <c r="W78" t="e">
        <f>NA()</f>
        <v>#N/A</v>
      </c>
      <c r="X78" t="e">
        <f>NA()</f>
        <v>#N/A</v>
      </c>
      <c r="Y78">
        <v>1904</v>
      </c>
      <c r="Z78">
        <v>8.1873000000000005</v>
      </c>
      <c r="AA78">
        <v>8.3421470000000006</v>
      </c>
      <c r="AB78">
        <v>1944</v>
      </c>
      <c r="AC78">
        <v>5.4930620000000001</v>
      </c>
      <c r="AD78">
        <v>4.2074129999999998</v>
      </c>
      <c r="AE78">
        <v>1950</v>
      </c>
      <c r="AF78">
        <v>17.5791</v>
      </c>
      <c r="AG78">
        <v>17.673960000000001</v>
      </c>
      <c r="AH78">
        <v>1978</v>
      </c>
      <c r="AI78">
        <v>10.36722</v>
      </c>
      <c r="AJ78">
        <v>10.24985</v>
      </c>
      <c r="AK78" t="e">
        <f>NA()</f>
        <v>#N/A</v>
      </c>
      <c r="AL78" t="e">
        <f>NA()</f>
        <v>#N/A</v>
      </c>
      <c r="AM78" t="e">
        <f>NA()</f>
        <v>#N/A</v>
      </c>
      <c r="AN78">
        <v>1944</v>
      </c>
      <c r="AO78">
        <v>13.910819999999999</v>
      </c>
      <c r="AP78">
        <v>13.256629999999999</v>
      </c>
      <c r="AQ78">
        <v>1956</v>
      </c>
      <c r="AR78">
        <v>10.723470000000001</v>
      </c>
      <c r="AS78">
        <v>10.42145</v>
      </c>
    </row>
    <row r="79" spans="1:45">
      <c r="A79" t="e">
        <f>NA()</f>
        <v>#N/A</v>
      </c>
      <c r="B79" t="e">
        <f>NA()</f>
        <v>#N/A</v>
      </c>
      <c r="C79" t="e">
        <f>NA()</f>
        <v>#N/A</v>
      </c>
      <c r="D79" t="e">
        <f>NA()</f>
        <v>#N/A</v>
      </c>
      <c r="E79" t="e">
        <f>NA()</f>
        <v>#N/A</v>
      </c>
      <c r="F79" t="e">
        <f>NA()</f>
        <v>#N/A</v>
      </c>
      <c r="G79">
        <v>1975</v>
      </c>
      <c r="H79">
        <v>18.488340000000001</v>
      </c>
      <c r="I79">
        <v>18.561209999999999</v>
      </c>
      <c r="J79" t="e">
        <f>NA()</f>
        <v>#N/A</v>
      </c>
      <c r="K79" t="e">
        <f>NA()</f>
        <v>#N/A</v>
      </c>
      <c r="L79" t="e">
        <f>NA()</f>
        <v>#N/A</v>
      </c>
      <c r="M79">
        <v>1977</v>
      </c>
      <c r="N79">
        <v>28.424009999999999</v>
      </c>
      <c r="O79">
        <v>28.293310000000002</v>
      </c>
      <c r="P79" t="e">
        <f>NA()</f>
        <v>#N/A</v>
      </c>
      <c r="Q79" t="e">
        <f>NA()</f>
        <v>#N/A</v>
      </c>
      <c r="R79" t="e">
        <f>NA()</f>
        <v>#N/A</v>
      </c>
      <c r="S79" t="e">
        <f>NA()</f>
        <v>#N/A</v>
      </c>
      <c r="T79" t="e">
        <f>NA()</f>
        <v>#N/A</v>
      </c>
      <c r="U79" t="e">
        <f>NA()</f>
        <v>#N/A</v>
      </c>
      <c r="V79" t="e">
        <f>NA()</f>
        <v>#N/A</v>
      </c>
      <c r="W79" t="e">
        <f>NA()</f>
        <v>#N/A</v>
      </c>
      <c r="X79" t="e">
        <f>NA()</f>
        <v>#N/A</v>
      </c>
      <c r="Y79">
        <v>1905</v>
      </c>
      <c r="Z79">
        <v>8.2271079999999994</v>
      </c>
      <c r="AA79">
        <v>8.3329599999999999</v>
      </c>
      <c r="AB79">
        <v>1945</v>
      </c>
      <c r="AC79">
        <v>5.5490760000000003</v>
      </c>
      <c r="AD79">
        <v>4.3337810000000001</v>
      </c>
      <c r="AE79">
        <v>1951</v>
      </c>
      <c r="AF79">
        <v>17.638590000000001</v>
      </c>
      <c r="AG79">
        <v>17.66573</v>
      </c>
      <c r="AH79">
        <v>1979</v>
      </c>
      <c r="AI79">
        <v>10.416309999999999</v>
      </c>
      <c r="AJ79">
        <v>10.28636</v>
      </c>
      <c r="AK79" t="e">
        <f>NA()</f>
        <v>#N/A</v>
      </c>
      <c r="AL79" t="e">
        <f>NA()</f>
        <v>#N/A</v>
      </c>
      <c r="AM79" t="e">
        <f>NA()</f>
        <v>#N/A</v>
      </c>
      <c r="AN79">
        <v>1945</v>
      </c>
      <c r="AO79">
        <v>13.81451</v>
      </c>
      <c r="AP79">
        <v>13.30686</v>
      </c>
      <c r="AQ79">
        <v>1957</v>
      </c>
      <c r="AR79">
        <v>10.63838</v>
      </c>
      <c r="AS79">
        <v>10.423500000000001</v>
      </c>
    </row>
    <row r="80" spans="1:45">
      <c r="A80" t="e">
        <f>NA()</f>
        <v>#N/A</v>
      </c>
      <c r="B80" t="e">
        <f>NA()</f>
        <v>#N/A</v>
      </c>
      <c r="C80" t="e">
        <f>NA()</f>
        <v>#N/A</v>
      </c>
      <c r="D80" t="e">
        <f>NA()</f>
        <v>#N/A</v>
      </c>
      <c r="E80" t="e">
        <f>NA()</f>
        <v>#N/A</v>
      </c>
      <c r="F80" t="e">
        <f>NA()</f>
        <v>#N/A</v>
      </c>
      <c r="G80">
        <v>1976</v>
      </c>
      <c r="H80">
        <v>18.515989999999999</v>
      </c>
      <c r="I80">
        <v>18.521070000000002</v>
      </c>
      <c r="J80" t="e">
        <f>NA()</f>
        <v>#N/A</v>
      </c>
      <c r="K80" t="e">
        <f>NA()</f>
        <v>#N/A</v>
      </c>
      <c r="L80" t="e">
        <f>NA()</f>
        <v>#N/A</v>
      </c>
      <c r="M80">
        <v>1978</v>
      </c>
      <c r="N80">
        <v>28.459569999999999</v>
      </c>
      <c r="O80">
        <v>28.352810000000002</v>
      </c>
      <c r="P80" t="e">
        <f>NA()</f>
        <v>#N/A</v>
      </c>
      <c r="Q80" t="e">
        <f>NA()</f>
        <v>#N/A</v>
      </c>
      <c r="R80" t="e">
        <f>NA()</f>
        <v>#N/A</v>
      </c>
      <c r="S80" t="e">
        <f>NA()</f>
        <v>#N/A</v>
      </c>
      <c r="T80" t="e">
        <f>NA()</f>
        <v>#N/A</v>
      </c>
      <c r="U80" t="e">
        <f>NA()</f>
        <v>#N/A</v>
      </c>
      <c r="V80" t="e">
        <f>NA()</f>
        <v>#N/A</v>
      </c>
      <c r="W80" t="e">
        <f>NA()</f>
        <v>#N/A</v>
      </c>
      <c r="X80" t="e">
        <f>NA()</f>
        <v>#N/A</v>
      </c>
      <c r="Y80">
        <v>1906</v>
      </c>
      <c r="Z80">
        <v>8.2877799999999997</v>
      </c>
      <c r="AA80">
        <v>8.2719310000000004</v>
      </c>
      <c r="AB80">
        <v>1946</v>
      </c>
      <c r="AC80">
        <v>5.4553209999999996</v>
      </c>
      <c r="AD80">
        <v>4.8118650000000001</v>
      </c>
      <c r="AE80">
        <v>1952</v>
      </c>
      <c r="AF80">
        <v>17.690349999999999</v>
      </c>
      <c r="AG80">
        <v>17.724150000000002</v>
      </c>
      <c r="AH80">
        <v>1980</v>
      </c>
      <c r="AI80">
        <v>10.43998</v>
      </c>
      <c r="AJ80">
        <v>10.45111</v>
      </c>
      <c r="AK80" t="e">
        <f>NA()</f>
        <v>#N/A</v>
      </c>
      <c r="AL80" t="e">
        <f>NA()</f>
        <v>#N/A</v>
      </c>
      <c r="AM80" t="e">
        <f>NA()</f>
        <v>#N/A</v>
      </c>
      <c r="AN80">
        <v>1946</v>
      </c>
      <c r="AO80">
        <v>13.6751</v>
      </c>
      <c r="AP80">
        <v>13.43515</v>
      </c>
      <c r="AQ80">
        <v>1958</v>
      </c>
      <c r="AR80">
        <v>10.531829999999999</v>
      </c>
      <c r="AS80">
        <v>10.43642</v>
      </c>
    </row>
    <row r="81" spans="1:45">
      <c r="A81" t="e">
        <f>NA()</f>
        <v>#N/A</v>
      </c>
      <c r="B81" t="e">
        <f>NA()</f>
        <v>#N/A</v>
      </c>
      <c r="C81" t="e">
        <f>NA()</f>
        <v>#N/A</v>
      </c>
      <c r="D81" t="e">
        <f>NA()</f>
        <v>#N/A</v>
      </c>
      <c r="E81" t="e">
        <f>NA()</f>
        <v>#N/A</v>
      </c>
      <c r="F81" t="e">
        <f>NA()</f>
        <v>#N/A</v>
      </c>
      <c r="G81">
        <v>1977</v>
      </c>
      <c r="H81">
        <v>18.534009999999999</v>
      </c>
      <c r="I81">
        <v>18.506699999999999</v>
      </c>
      <c r="J81" t="e">
        <f>NA()</f>
        <v>#N/A</v>
      </c>
      <c r="K81" t="e">
        <f>NA()</f>
        <v>#N/A</v>
      </c>
      <c r="L81" t="e">
        <f>NA()</f>
        <v>#N/A</v>
      </c>
      <c r="M81">
        <v>1979</v>
      </c>
      <c r="N81">
        <v>28.47259</v>
      </c>
      <c r="O81">
        <v>28.40945</v>
      </c>
      <c r="P81" t="e">
        <f>NA()</f>
        <v>#N/A</v>
      </c>
      <c r="Q81" t="e">
        <f>NA()</f>
        <v>#N/A</v>
      </c>
      <c r="R81" t="e">
        <f>NA()</f>
        <v>#N/A</v>
      </c>
      <c r="S81" t="e">
        <f>NA()</f>
        <v>#N/A</v>
      </c>
      <c r="T81" t="e">
        <f>NA()</f>
        <v>#N/A</v>
      </c>
      <c r="U81" t="e">
        <f>NA()</f>
        <v>#N/A</v>
      </c>
      <c r="V81" t="e">
        <f>NA()</f>
        <v>#N/A</v>
      </c>
      <c r="W81" t="e">
        <f>NA()</f>
        <v>#N/A</v>
      </c>
      <c r="X81" t="e">
        <f>NA()</f>
        <v>#N/A</v>
      </c>
      <c r="Y81">
        <v>1907</v>
      </c>
      <c r="Z81">
        <v>8.3614750000000004</v>
      </c>
      <c r="AA81">
        <v>8.3322120000000002</v>
      </c>
      <c r="AB81">
        <v>1947</v>
      </c>
      <c r="AC81">
        <v>5.47227</v>
      </c>
      <c r="AD81">
        <v>4.9132020000000001</v>
      </c>
      <c r="AE81">
        <v>1953</v>
      </c>
      <c r="AF81">
        <v>17.737439999999999</v>
      </c>
      <c r="AG81">
        <v>17.765750000000001</v>
      </c>
      <c r="AH81">
        <v>1981</v>
      </c>
      <c r="AI81">
        <v>10.4688</v>
      </c>
      <c r="AJ81">
        <v>10.514239999999999</v>
      </c>
      <c r="AK81" t="e">
        <f>NA()</f>
        <v>#N/A</v>
      </c>
      <c r="AL81" t="e">
        <f>NA()</f>
        <v>#N/A</v>
      </c>
      <c r="AM81" t="e">
        <f>NA()</f>
        <v>#N/A</v>
      </c>
      <c r="AN81">
        <v>1947</v>
      </c>
      <c r="AO81">
        <v>13.77469</v>
      </c>
      <c r="AP81">
        <v>13.48602</v>
      </c>
      <c r="AQ81">
        <v>1959</v>
      </c>
      <c r="AR81">
        <v>10.478020000000001</v>
      </c>
      <c r="AS81">
        <v>10.41239</v>
      </c>
    </row>
    <row r="82" spans="1:45">
      <c r="A82" t="e">
        <f>NA()</f>
        <v>#N/A</v>
      </c>
      <c r="B82" t="e">
        <f>NA()</f>
        <v>#N/A</v>
      </c>
      <c r="C82" t="e">
        <f>NA()</f>
        <v>#N/A</v>
      </c>
      <c r="D82" t="e">
        <f>NA()</f>
        <v>#N/A</v>
      </c>
      <c r="E82" t="e">
        <f>NA()</f>
        <v>#N/A</v>
      </c>
      <c r="F82" t="e">
        <f>NA()</f>
        <v>#N/A</v>
      </c>
      <c r="G82">
        <v>1978</v>
      </c>
      <c r="H82">
        <v>18.577680000000001</v>
      </c>
      <c r="I82">
        <v>18.45552</v>
      </c>
      <c r="J82" t="e">
        <f>NA()</f>
        <v>#N/A</v>
      </c>
      <c r="K82" t="e">
        <f>NA()</f>
        <v>#N/A</v>
      </c>
      <c r="L82" t="e">
        <f>NA()</f>
        <v>#N/A</v>
      </c>
      <c r="M82">
        <v>1980</v>
      </c>
      <c r="N82">
        <v>28.485440000000001</v>
      </c>
      <c r="O82">
        <v>28.461950000000002</v>
      </c>
      <c r="P82" t="e">
        <f>NA()</f>
        <v>#N/A</v>
      </c>
      <c r="Q82" t="e">
        <f>NA()</f>
        <v>#N/A</v>
      </c>
      <c r="R82" t="e">
        <f>NA()</f>
        <v>#N/A</v>
      </c>
      <c r="S82" t="e">
        <f>NA()</f>
        <v>#N/A</v>
      </c>
      <c r="T82" t="e">
        <f>NA()</f>
        <v>#N/A</v>
      </c>
      <c r="U82" t="e">
        <f>NA()</f>
        <v>#N/A</v>
      </c>
      <c r="V82" t="e">
        <f>NA()</f>
        <v>#N/A</v>
      </c>
      <c r="W82" t="e">
        <f>NA()</f>
        <v>#N/A</v>
      </c>
      <c r="X82" t="e">
        <f>NA()</f>
        <v>#N/A</v>
      </c>
      <c r="Y82">
        <v>1908</v>
      </c>
      <c r="Z82">
        <v>8.4576560000000001</v>
      </c>
      <c r="AA82">
        <v>8.5283940000000005</v>
      </c>
      <c r="AB82">
        <v>1948</v>
      </c>
      <c r="AC82">
        <v>5.3612919999999997</v>
      </c>
      <c r="AD82">
        <v>4.9114969999999998</v>
      </c>
      <c r="AE82">
        <v>1954</v>
      </c>
      <c r="AF82">
        <v>17.784649999999999</v>
      </c>
      <c r="AG82">
        <v>17.903199999999998</v>
      </c>
      <c r="AH82">
        <v>1982</v>
      </c>
      <c r="AI82">
        <v>10.488490000000001</v>
      </c>
      <c r="AJ82">
        <v>10.741199999999999</v>
      </c>
      <c r="AK82" t="e">
        <f>NA()</f>
        <v>#N/A</v>
      </c>
      <c r="AL82" t="e">
        <f>NA()</f>
        <v>#N/A</v>
      </c>
      <c r="AM82" t="e">
        <f>NA()</f>
        <v>#N/A</v>
      </c>
      <c r="AN82">
        <v>1948</v>
      </c>
      <c r="AO82">
        <v>13.749370000000001</v>
      </c>
      <c r="AP82">
        <v>13.5123</v>
      </c>
      <c r="AQ82">
        <v>1960</v>
      </c>
      <c r="AR82">
        <v>10.44153</v>
      </c>
      <c r="AS82">
        <v>10.408200000000001</v>
      </c>
    </row>
    <row r="83" spans="1:45">
      <c r="A83" t="e">
        <f>NA()</f>
        <v>#N/A</v>
      </c>
      <c r="B83" t="e">
        <f>NA()</f>
        <v>#N/A</v>
      </c>
      <c r="C83" t="e">
        <f>NA()</f>
        <v>#N/A</v>
      </c>
      <c r="D83" t="e">
        <f>NA()</f>
        <v>#N/A</v>
      </c>
      <c r="E83" t="e">
        <f>NA()</f>
        <v>#N/A</v>
      </c>
      <c r="F83" t="e">
        <f>NA()</f>
        <v>#N/A</v>
      </c>
      <c r="G83">
        <v>1979</v>
      </c>
      <c r="H83">
        <v>18.594629999999999</v>
      </c>
      <c r="I83">
        <v>18.482690000000002</v>
      </c>
      <c r="J83" t="e">
        <f>NA()</f>
        <v>#N/A</v>
      </c>
      <c r="K83" t="e">
        <f>NA()</f>
        <v>#N/A</v>
      </c>
      <c r="L83" t="e">
        <f>NA()</f>
        <v>#N/A</v>
      </c>
      <c r="M83">
        <v>1981</v>
      </c>
      <c r="N83">
        <v>28.48968</v>
      </c>
      <c r="O83">
        <v>28.51614</v>
      </c>
      <c r="P83" t="e">
        <f>NA()</f>
        <v>#N/A</v>
      </c>
      <c r="Q83" t="e">
        <f>NA()</f>
        <v>#N/A</v>
      </c>
      <c r="R83" t="e">
        <f>NA()</f>
        <v>#N/A</v>
      </c>
      <c r="S83" t="e">
        <f>NA()</f>
        <v>#N/A</v>
      </c>
      <c r="T83" t="e">
        <f>NA()</f>
        <v>#N/A</v>
      </c>
      <c r="U83" t="e">
        <f>NA()</f>
        <v>#N/A</v>
      </c>
      <c r="V83" t="e">
        <f>NA()</f>
        <v>#N/A</v>
      </c>
      <c r="W83" t="e">
        <f>NA()</f>
        <v>#N/A</v>
      </c>
      <c r="X83" t="e">
        <f>NA()</f>
        <v>#N/A</v>
      </c>
      <c r="Y83">
        <v>1909</v>
      </c>
      <c r="Z83">
        <v>8.4656900000000004</v>
      </c>
      <c r="AA83">
        <v>8.4605080000000008</v>
      </c>
      <c r="AB83">
        <v>1949</v>
      </c>
      <c r="AC83">
        <v>5.2781149999999997</v>
      </c>
      <c r="AD83">
        <v>4.9716319999999996</v>
      </c>
      <c r="AE83">
        <v>1955</v>
      </c>
      <c r="AF83">
        <v>17.847729999999999</v>
      </c>
      <c r="AG83">
        <v>17.905339999999999</v>
      </c>
      <c r="AH83">
        <v>1983</v>
      </c>
      <c r="AI83">
        <v>10.537419999999999</v>
      </c>
      <c r="AJ83">
        <v>10.738239999999999</v>
      </c>
      <c r="AK83" t="e">
        <f>NA()</f>
        <v>#N/A</v>
      </c>
      <c r="AL83" t="e">
        <f>NA()</f>
        <v>#N/A</v>
      </c>
      <c r="AM83" t="e">
        <f>NA()</f>
        <v>#N/A</v>
      </c>
      <c r="AN83">
        <v>1949</v>
      </c>
      <c r="AO83">
        <v>13.55674</v>
      </c>
      <c r="AP83">
        <v>13.552379999999999</v>
      </c>
      <c r="AQ83">
        <v>1961</v>
      </c>
      <c r="AR83">
        <v>10.39461</v>
      </c>
      <c r="AS83">
        <v>10.405659999999999</v>
      </c>
    </row>
    <row r="84" spans="1:45">
      <c r="A84" t="e">
        <f>NA()</f>
        <v>#N/A</v>
      </c>
      <c r="B84" t="e">
        <f>NA()</f>
        <v>#N/A</v>
      </c>
      <c r="C84" t="e">
        <f>NA()</f>
        <v>#N/A</v>
      </c>
      <c r="D84" t="e">
        <f>NA()</f>
        <v>#N/A</v>
      </c>
      <c r="E84" t="e">
        <f>NA()</f>
        <v>#N/A</v>
      </c>
      <c r="F84" t="e">
        <f>NA()</f>
        <v>#N/A</v>
      </c>
      <c r="G84">
        <v>1980</v>
      </c>
      <c r="H84">
        <v>18.619530000000001</v>
      </c>
      <c r="I84">
        <v>18.62781</v>
      </c>
      <c r="J84" t="e">
        <f>NA()</f>
        <v>#N/A</v>
      </c>
      <c r="K84" t="e">
        <f>NA()</f>
        <v>#N/A</v>
      </c>
      <c r="L84" t="e">
        <f>NA()</f>
        <v>#N/A</v>
      </c>
      <c r="M84">
        <v>1982</v>
      </c>
      <c r="N84">
        <v>28.463930000000001</v>
      </c>
      <c r="O84">
        <v>28.563859999999998</v>
      </c>
      <c r="P84" t="e">
        <f>NA()</f>
        <v>#N/A</v>
      </c>
      <c r="Q84" t="e">
        <f>NA()</f>
        <v>#N/A</v>
      </c>
      <c r="R84" t="e">
        <f>NA()</f>
        <v>#N/A</v>
      </c>
      <c r="S84" t="e">
        <f>NA()</f>
        <v>#N/A</v>
      </c>
      <c r="T84" t="e">
        <f>NA()</f>
        <v>#N/A</v>
      </c>
      <c r="U84" t="e">
        <f>NA()</f>
        <v>#N/A</v>
      </c>
      <c r="V84" t="e">
        <f>NA()</f>
        <v>#N/A</v>
      </c>
      <c r="W84" t="e">
        <f>NA()</f>
        <v>#N/A</v>
      </c>
      <c r="X84" t="e">
        <f>NA()</f>
        <v>#N/A</v>
      </c>
      <c r="Y84">
        <v>1910</v>
      </c>
      <c r="Z84">
        <v>8.4969900000000003</v>
      </c>
      <c r="AA84">
        <v>8.5337460000000007</v>
      </c>
      <c r="AB84">
        <v>1950</v>
      </c>
      <c r="AC84">
        <v>5.3033049999999999</v>
      </c>
      <c r="AD84">
        <v>4.8816839999999999</v>
      </c>
      <c r="AE84">
        <v>1956</v>
      </c>
      <c r="AF84">
        <v>17.915569999999999</v>
      </c>
      <c r="AG84">
        <v>17.995979999999999</v>
      </c>
      <c r="AH84">
        <v>1984</v>
      </c>
      <c r="AI84">
        <v>10.547969999999999</v>
      </c>
      <c r="AJ84">
        <v>10.62222</v>
      </c>
      <c r="AK84" t="e">
        <f>NA()</f>
        <v>#N/A</v>
      </c>
      <c r="AL84" t="e">
        <f>NA()</f>
        <v>#N/A</v>
      </c>
      <c r="AM84" t="e">
        <f>NA()</f>
        <v>#N/A</v>
      </c>
      <c r="AN84">
        <v>1950</v>
      </c>
      <c r="AO84">
        <v>13.66933</v>
      </c>
      <c r="AP84">
        <v>13.558310000000001</v>
      </c>
      <c r="AQ84">
        <v>1962</v>
      </c>
      <c r="AR84">
        <v>10.37561</v>
      </c>
      <c r="AS84">
        <v>10.385260000000001</v>
      </c>
    </row>
    <row r="85" spans="1:45">
      <c r="A85" t="e">
        <f>NA()</f>
        <v>#N/A</v>
      </c>
      <c r="B85" t="e">
        <f>NA()</f>
        <v>#N/A</v>
      </c>
      <c r="C85" t="e">
        <f>NA()</f>
        <v>#N/A</v>
      </c>
      <c r="D85" t="e">
        <f>NA()</f>
        <v>#N/A</v>
      </c>
      <c r="E85" t="e">
        <f>NA()</f>
        <v>#N/A</v>
      </c>
      <c r="F85" t="e">
        <f>NA()</f>
        <v>#N/A</v>
      </c>
      <c r="G85">
        <v>1981</v>
      </c>
      <c r="H85">
        <v>18.627700000000001</v>
      </c>
      <c r="I85">
        <v>18.679400000000001</v>
      </c>
      <c r="J85" t="e">
        <f>NA()</f>
        <v>#N/A</v>
      </c>
      <c r="K85" t="e">
        <f>NA()</f>
        <v>#N/A</v>
      </c>
      <c r="L85" t="e">
        <f>NA()</f>
        <v>#N/A</v>
      </c>
      <c r="M85">
        <v>1983</v>
      </c>
      <c r="N85">
        <v>28.49391</v>
      </c>
      <c r="O85">
        <v>28.619689999999999</v>
      </c>
      <c r="P85" t="e">
        <f>NA()</f>
        <v>#N/A</v>
      </c>
      <c r="Q85" t="e">
        <f>NA()</f>
        <v>#N/A</v>
      </c>
      <c r="R85" t="e">
        <f>NA()</f>
        <v>#N/A</v>
      </c>
      <c r="S85" t="e">
        <f>NA()</f>
        <v>#N/A</v>
      </c>
      <c r="T85" t="e">
        <f>NA()</f>
        <v>#N/A</v>
      </c>
      <c r="U85" t="e">
        <f>NA()</f>
        <v>#N/A</v>
      </c>
      <c r="V85" t="e">
        <f>NA()</f>
        <v>#N/A</v>
      </c>
      <c r="W85" t="e">
        <f>NA()</f>
        <v>#N/A</v>
      </c>
      <c r="X85" t="e">
        <f>NA()</f>
        <v>#N/A</v>
      </c>
      <c r="Y85">
        <v>1911</v>
      </c>
      <c r="Z85">
        <v>8.5318850000000008</v>
      </c>
      <c r="AA85">
        <v>8.5657949999999996</v>
      </c>
      <c r="AB85">
        <v>1951</v>
      </c>
      <c r="AC85">
        <v>5.3181200000000004</v>
      </c>
      <c r="AD85">
        <v>4.8112430000000002</v>
      </c>
      <c r="AE85">
        <v>1957</v>
      </c>
      <c r="AF85">
        <v>17.971109999999999</v>
      </c>
      <c r="AG85">
        <v>18.08869</v>
      </c>
      <c r="AH85">
        <v>1985</v>
      </c>
      <c r="AI85">
        <v>10.591620000000001</v>
      </c>
      <c r="AJ85">
        <v>10.62917</v>
      </c>
      <c r="AK85" t="e">
        <f>NA()</f>
        <v>#N/A</v>
      </c>
      <c r="AL85" t="e">
        <f>NA()</f>
        <v>#N/A</v>
      </c>
      <c r="AM85" t="e">
        <f>NA()</f>
        <v>#N/A</v>
      </c>
      <c r="AN85">
        <v>1951</v>
      </c>
      <c r="AO85">
        <v>13.763159999999999</v>
      </c>
      <c r="AP85">
        <v>13.56887</v>
      </c>
      <c r="AQ85">
        <v>1963</v>
      </c>
      <c r="AR85">
        <v>10.30236</v>
      </c>
      <c r="AS85">
        <v>10.370660000000001</v>
      </c>
    </row>
    <row r="86" spans="1:45">
      <c r="A86" t="e">
        <f>NA()</f>
        <v>#N/A</v>
      </c>
      <c r="B86" t="e">
        <f>NA()</f>
        <v>#N/A</v>
      </c>
      <c r="C86" t="e">
        <f>NA()</f>
        <v>#N/A</v>
      </c>
      <c r="D86" t="e">
        <f>NA()</f>
        <v>#N/A</v>
      </c>
      <c r="E86" t="e">
        <f>NA()</f>
        <v>#N/A</v>
      </c>
      <c r="F86" t="e">
        <f>NA()</f>
        <v>#N/A</v>
      </c>
      <c r="G86">
        <v>1982</v>
      </c>
      <c r="H86">
        <v>18.63579</v>
      </c>
      <c r="I86">
        <v>18.88157</v>
      </c>
      <c r="J86" t="e">
        <f>NA()</f>
        <v>#N/A</v>
      </c>
      <c r="K86" t="e">
        <f>NA()</f>
        <v>#N/A</v>
      </c>
      <c r="L86" t="e">
        <f>NA()</f>
        <v>#N/A</v>
      </c>
      <c r="M86">
        <v>1984</v>
      </c>
      <c r="N86">
        <v>28.539280000000002</v>
      </c>
      <c r="O86">
        <v>28.679320000000001</v>
      </c>
      <c r="P86" t="e">
        <f>NA()</f>
        <v>#N/A</v>
      </c>
      <c r="Q86" t="e">
        <f>NA()</f>
        <v>#N/A</v>
      </c>
      <c r="R86" t="e">
        <f>NA()</f>
        <v>#N/A</v>
      </c>
      <c r="S86" t="e">
        <f>NA()</f>
        <v>#N/A</v>
      </c>
      <c r="T86" t="e">
        <f>NA()</f>
        <v>#N/A</v>
      </c>
      <c r="U86" t="e">
        <f>NA()</f>
        <v>#N/A</v>
      </c>
      <c r="V86" t="e">
        <f>NA()</f>
        <v>#N/A</v>
      </c>
      <c r="W86" t="e">
        <f>NA()</f>
        <v>#N/A</v>
      </c>
      <c r="X86" t="e">
        <f>NA()</f>
        <v>#N/A</v>
      </c>
      <c r="Y86">
        <v>1912</v>
      </c>
      <c r="Z86">
        <v>8.5525610000000007</v>
      </c>
      <c r="AA86">
        <v>8.579186</v>
      </c>
      <c r="AB86">
        <v>1952</v>
      </c>
      <c r="AC86">
        <v>5.1704840000000001</v>
      </c>
      <c r="AD86">
        <v>4.8094299999999999</v>
      </c>
      <c r="AE86">
        <v>1958</v>
      </c>
      <c r="AF86">
        <v>18.017530000000001</v>
      </c>
      <c r="AG86">
        <v>18.229379999999999</v>
      </c>
      <c r="AH86">
        <v>1986</v>
      </c>
      <c r="AI86">
        <v>10.616440000000001</v>
      </c>
      <c r="AJ86">
        <v>10.65265</v>
      </c>
      <c r="AK86" t="e">
        <f>NA()</f>
        <v>#N/A</v>
      </c>
      <c r="AL86" t="e">
        <f>NA()</f>
        <v>#N/A</v>
      </c>
      <c r="AM86" t="e">
        <f>NA()</f>
        <v>#N/A</v>
      </c>
      <c r="AN86">
        <v>1952</v>
      </c>
      <c r="AO86">
        <v>13.71237</v>
      </c>
      <c r="AP86">
        <v>13.59482</v>
      </c>
      <c r="AQ86">
        <v>1964</v>
      </c>
      <c r="AR86">
        <v>10.28889</v>
      </c>
      <c r="AS86">
        <v>10.348940000000001</v>
      </c>
    </row>
    <row r="87" spans="1:45">
      <c r="A87" t="e">
        <f>NA()</f>
        <v>#N/A</v>
      </c>
      <c r="B87" t="e">
        <f>NA()</f>
        <v>#N/A</v>
      </c>
      <c r="C87" t="e">
        <f>NA()</f>
        <v>#N/A</v>
      </c>
      <c r="D87" t="e">
        <f>NA()</f>
        <v>#N/A</v>
      </c>
      <c r="E87" t="e">
        <f>NA()</f>
        <v>#N/A</v>
      </c>
      <c r="F87" t="e">
        <f>NA()</f>
        <v>#N/A</v>
      </c>
      <c r="G87">
        <v>1983</v>
      </c>
      <c r="H87">
        <v>18.651789999999998</v>
      </c>
      <c r="I87">
        <v>18.872409999999999</v>
      </c>
      <c r="J87" t="e">
        <f>NA()</f>
        <v>#N/A</v>
      </c>
      <c r="K87" t="e">
        <f>NA()</f>
        <v>#N/A</v>
      </c>
      <c r="L87" t="e">
        <f>NA()</f>
        <v>#N/A</v>
      </c>
      <c r="M87">
        <v>1985</v>
      </c>
      <c r="N87">
        <v>28.574929999999998</v>
      </c>
      <c r="O87">
        <v>28.734470000000002</v>
      </c>
      <c r="P87" t="e">
        <f>NA()</f>
        <v>#N/A</v>
      </c>
      <c r="Q87" t="e">
        <f>NA()</f>
        <v>#N/A</v>
      </c>
      <c r="R87" t="e">
        <f>NA()</f>
        <v>#N/A</v>
      </c>
      <c r="S87" t="e">
        <f>NA()</f>
        <v>#N/A</v>
      </c>
      <c r="T87" t="e">
        <f>NA()</f>
        <v>#N/A</v>
      </c>
      <c r="U87" t="e">
        <f>NA()</f>
        <v>#N/A</v>
      </c>
      <c r="V87" t="e">
        <f>NA()</f>
        <v>#N/A</v>
      </c>
      <c r="W87" t="e">
        <f>NA()</f>
        <v>#N/A</v>
      </c>
      <c r="X87" t="e">
        <f>NA()</f>
        <v>#N/A</v>
      </c>
      <c r="Y87">
        <v>1913</v>
      </c>
      <c r="Z87">
        <v>8.5816689999999998</v>
      </c>
      <c r="AA87">
        <v>8.6114770000000007</v>
      </c>
      <c r="AB87">
        <v>1953</v>
      </c>
      <c r="AC87">
        <v>5.2257470000000001</v>
      </c>
      <c r="AD87">
        <v>4.7903650000000004</v>
      </c>
      <c r="AE87">
        <v>1959</v>
      </c>
      <c r="AF87">
        <v>18.07835</v>
      </c>
      <c r="AG87">
        <v>18.222110000000001</v>
      </c>
      <c r="AH87">
        <v>1987</v>
      </c>
      <c r="AI87">
        <v>10.638260000000001</v>
      </c>
      <c r="AJ87">
        <v>10.672169999999999</v>
      </c>
      <c r="AK87" t="e">
        <f>NA()</f>
        <v>#N/A</v>
      </c>
      <c r="AL87" t="e">
        <f>NA()</f>
        <v>#N/A</v>
      </c>
      <c r="AM87" t="e">
        <f>NA()</f>
        <v>#N/A</v>
      </c>
      <c r="AN87">
        <v>1953</v>
      </c>
      <c r="AO87">
        <v>13.697850000000001</v>
      </c>
      <c r="AP87">
        <v>13.616440000000001</v>
      </c>
      <c r="AQ87">
        <v>1965</v>
      </c>
      <c r="AR87">
        <v>10.243130000000001</v>
      </c>
      <c r="AS87">
        <v>10.322609999999999</v>
      </c>
    </row>
    <row r="88" spans="1:45">
      <c r="A88" t="e">
        <f>NA()</f>
        <v>#N/A</v>
      </c>
      <c r="B88" t="e">
        <f>NA()</f>
        <v>#N/A</v>
      </c>
      <c r="C88" t="e">
        <f>NA()</f>
        <v>#N/A</v>
      </c>
      <c r="D88" t="e">
        <f>NA()</f>
        <v>#N/A</v>
      </c>
      <c r="E88" t="e">
        <f>NA()</f>
        <v>#N/A</v>
      </c>
      <c r="F88" t="e">
        <f>NA()</f>
        <v>#N/A</v>
      </c>
      <c r="G88">
        <v>1984</v>
      </c>
      <c r="H88">
        <v>18.667539999999999</v>
      </c>
      <c r="I88">
        <v>18.759329999999999</v>
      </c>
      <c r="J88" t="e">
        <f>NA()</f>
        <v>#N/A</v>
      </c>
      <c r="K88" t="e">
        <f>NA()</f>
        <v>#N/A</v>
      </c>
      <c r="L88" t="e">
        <f>NA()</f>
        <v>#N/A</v>
      </c>
      <c r="M88">
        <v>1986</v>
      </c>
      <c r="N88">
        <v>28.58653</v>
      </c>
      <c r="O88">
        <v>28.78913</v>
      </c>
      <c r="P88" t="e">
        <f>NA()</f>
        <v>#N/A</v>
      </c>
      <c r="Q88" t="e">
        <f>NA()</f>
        <v>#N/A</v>
      </c>
      <c r="R88" t="e">
        <f>NA()</f>
        <v>#N/A</v>
      </c>
      <c r="S88" t="e">
        <f>NA()</f>
        <v>#N/A</v>
      </c>
      <c r="T88" t="e">
        <f>NA()</f>
        <v>#N/A</v>
      </c>
      <c r="U88" t="e">
        <f>NA()</f>
        <v>#N/A</v>
      </c>
      <c r="V88" t="e">
        <f>NA()</f>
        <v>#N/A</v>
      </c>
      <c r="W88" t="e">
        <f>NA()</f>
        <v>#N/A</v>
      </c>
      <c r="X88" t="e">
        <f>NA()</f>
        <v>#N/A</v>
      </c>
      <c r="Y88">
        <v>1914</v>
      </c>
      <c r="Z88">
        <v>8.5993259999999996</v>
      </c>
      <c r="AA88">
        <v>8.7995439999999991</v>
      </c>
      <c r="AB88">
        <v>1954</v>
      </c>
      <c r="AC88">
        <v>5.1761499999999998</v>
      </c>
      <c r="AD88">
        <v>4.8699459999999997</v>
      </c>
      <c r="AE88">
        <v>1960</v>
      </c>
      <c r="AF88">
        <v>18.12698</v>
      </c>
      <c r="AG88">
        <v>18.297260000000001</v>
      </c>
      <c r="AH88">
        <v>1988</v>
      </c>
      <c r="AI88">
        <v>10.664289999999999</v>
      </c>
      <c r="AJ88">
        <v>10.66695</v>
      </c>
      <c r="AK88" t="e">
        <f>NA()</f>
        <v>#N/A</v>
      </c>
      <c r="AL88" t="e">
        <f>NA()</f>
        <v>#N/A</v>
      </c>
      <c r="AM88" t="e">
        <f>NA()</f>
        <v>#N/A</v>
      </c>
      <c r="AN88">
        <v>1954</v>
      </c>
      <c r="AO88">
        <v>13.59984</v>
      </c>
      <c r="AP88">
        <v>13.66084</v>
      </c>
      <c r="AQ88">
        <v>1966</v>
      </c>
      <c r="AR88">
        <v>10.2263</v>
      </c>
      <c r="AS88">
        <v>10.294090000000001</v>
      </c>
    </row>
    <row r="89" spans="1:45">
      <c r="A89" t="e">
        <f>NA()</f>
        <v>#N/A</v>
      </c>
      <c r="B89" t="e">
        <f>NA()</f>
        <v>#N/A</v>
      </c>
      <c r="C89" t="e">
        <f>NA()</f>
        <v>#N/A</v>
      </c>
      <c r="D89" t="e">
        <f>NA()</f>
        <v>#N/A</v>
      </c>
      <c r="E89" t="e">
        <f>NA()</f>
        <v>#N/A</v>
      </c>
      <c r="F89" t="e">
        <f>NA()</f>
        <v>#N/A</v>
      </c>
      <c r="G89">
        <v>1985</v>
      </c>
      <c r="H89">
        <v>18.698309999999999</v>
      </c>
      <c r="I89">
        <v>18.759329999999999</v>
      </c>
      <c r="J89" t="e">
        <f>NA()</f>
        <v>#N/A</v>
      </c>
      <c r="K89" t="e">
        <f>NA()</f>
        <v>#N/A</v>
      </c>
      <c r="L89" t="e">
        <f>NA()</f>
        <v>#N/A</v>
      </c>
      <c r="M89">
        <v>1987</v>
      </c>
      <c r="N89">
        <v>28.63165</v>
      </c>
      <c r="O89">
        <v>28.84366</v>
      </c>
      <c r="P89" t="e">
        <f>NA()</f>
        <v>#N/A</v>
      </c>
      <c r="Q89" t="e">
        <f>NA()</f>
        <v>#N/A</v>
      </c>
      <c r="R89" t="e">
        <f>NA()</f>
        <v>#N/A</v>
      </c>
      <c r="S89" t="e">
        <f>NA()</f>
        <v>#N/A</v>
      </c>
      <c r="T89" t="e">
        <f>NA()</f>
        <v>#N/A</v>
      </c>
      <c r="U89" t="e">
        <f>NA()</f>
        <v>#N/A</v>
      </c>
      <c r="V89" t="e">
        <f>NA()</f>
        <v>#N/A</v>
      </c>
      <c r="W89" t="e">
        <f>NA()</f>
        <v>#N/A</v>
      </c>
      <c r="X89" t="e">
        <f>NA()</f>
        <v>#N/A</v>
      </c>
      <c r="Y89">
        <v>1915</v>
      </c>
      <c r="Z89">
        <v>8.6901379999999993</v>
      </c>
      <c r="AA89">
        <v>8.8336469999999991</v>
      </c>
      <c r="AB89">
        <v>1955</v>
      </c>
      <c r="AC89">
        <v>5.1929569999999998</v>
      </c>
      <c r="AD89">
        <v>4.8103230000000003</v>
      </c>
      <c r="AE89">
        <v>1961</v>
      </c>
      <c r="AF89">
        <v>18.16478</v>
      </c>
      <c r="AG89">
        <v>18.37707</v>
      </c>
      <c r="AH89">
        <v>1989</v>
      </c>
      <c r="AI89">
        <v>10.88181</v>
      </c>
      <c r="AJ89">
        <v>10.690440000000001</v>
      </c>
      <c r="AK89" t="e">
        <f>NA()</f>
        <v>#N/A</v>
      </c>
      <c r="AL89" t="e">
        <f>NA()</f>
        <v>#N/A</v>
      </c>
      <c r="AM89" t="e">
        <f>NA()</f>
        <v>#N/A</v>
      </c>
      <c r="AN89">
        <v>1955</v>
      </c>
      <c r="AO89">
        <v>13.72668</v>
      </c>
      <c r="AP89">
        <v>13.674149999999999</v>
      </c>
      <c r="AQ89">
        <v>1967</v>
      </c>
      <c r="AR89">
        <v>10.109080000000001</v>
      </c>
      <c r="AS89">
        <v>10.282</v>
      </c>
    </row>
    <row r="90" spans="1:45">
      <c r="A90" t="e">
        <f>NA()</f>
        <v>#N/A</v>
      </c>
      <c r="B90" t="e">
        <f>NA()</f>
        <v>#N/A</v>
      </c>
      <c r="C90" t="e">
        <f>NA()</f>
        <v>#N/A</v>
      </c>
      <c r="D90" t="e">
        <f>NA()</f>
        <v>#N/A</v>
      </c>
      <c r="E90" t="e">
        <f>NA()</f>
        <v>#N/A</v>
      </c>
      <c r="F90" t="e">
        <f>NA()</f>
        <v>#N/A</v>
      </c>
      <c r="G90">
        <v>1986</v>
      </c>
      <c r="H90">
        <v>18.720790000000001</v>
      </c>
      <c r="I90">
        <v>18.774539999999998</v>
      </c>
      <c r="J90" t="e">
        <f>NA()</f>
        <v>#N/A</v>
      </c>
      <c r="K90" t="e">
        <f>NA()</f>
        <v>#N/A</v>
      </c>
      <c r="L90" t="e">
        <f>NA()</f>
        <v>#N/A</v>
      </c>
      <c r="M90">
        <v>1988</v>
      </c>
      <c r="N90">
        <v>28.678339999999999</v>
      </c>
      <c r="O90">
        <v>28.899260000000002</v>
      </c>
      <c r="P90" t="e">
        <f>NA()</f>
        <v>#N/A</v>
      </c>
      <c r="Q90" t="e">
        <f>NA()</f>
        <v>#N/A</v>
      </c>
      <c r="R90" t="e">
        <f>NA()</f>
        <v>#N/A</v>
      </c>
      <c r="S90" t="e">
        <f>NA()</f>
        <v>#N/A</v>
      </c>
      <c r="T90" t="e">
        <f>NA()</f>
        <v>#N/A</v>
      </c>
      <c r="U90" t="e">
        <f>NA()</f>
        <v>#N/A</v>
      </c>
      <c r="V90" t="e">
        <f>NA()</f>
        <v>#N/A</v>
      </c>
      <c r="W90" t="e">
        <f>NA()</f>
        <v>#N/A</v>
      </c>
      <c r="X90" t="e">
        <f>NA()</f>
        <v>#N/A</v>
      </c>
      <c r="Y90">
        <v>1916</v>
      </c>
      <c r="Z90">
        <v>8.7111140000000002</v>
      </c>
      <c r="AA90">
        <v>8.7329030000000003</v>
      </c>
      <c r="AB90">
        <v>1956</v>
      </c>
      <c r="AC90">
        <v>5.1873860000000001</v>
      </c>
      <c r="AD90">
        <v>4.8418049999999999</v>
      </c>
      <c r="AE90">
        <v>1962</v>
      </c>
      <c r="AF90">
        <v>18.209579999999999</v>
      </c>
      <c r="AG90">
        <v>18.389089999999999</v>
      </c>
      <c r="AH90">
        <v>1990</v>
      </c>
      <c r="AI90">
        <v>10.933109999999999</v>
      </c>
      <c r="AJ90">
        <v>10.78538</v>
      </c>
      <c r="AK90" t="e">
        <f>NA()</f>
        <v>#N/A</v>
      </c>
      <c r="AL90" t="e">
        <f>NA()</f>
        <v>#N/A</v>
      </c>
      <c r="AM90" t="e">
        <f>NA()</f>
        <v>#N/A</v>
      </c>
      <c r="AN90">
        <v>1956</v>
      </c>
      <c r="AO90">
        <v>13.765269999999999</v>
      </c>
      <c r="AP90">
        <v>13.707839999999999</v>
      </c>
      <c r="AQ90">
        <v>1968</v>
      </c>
      <c r="AR90">
        <v>9.9610489999999992</v>
      </c>
      <c r="AS90">
        <v>10.25868</v>
      </c>
    </row>
    <row r="91" spans="1:45">
      <c r="A91" t="e">
        <f>NA()</f>
        <v>#N/A</v>
      </c>
      <c r="B91" t="e">
        <f>NA()</f>
        <v>#N/A</v>
      </c>
      <c r="C91" t="e">
        <f>NA()</f>
        <v>#N/A</v>
      </c>
      <c r="D91" t="e">
        <f>NA()</f>
        <v>#N/A</v>
      </c>
      <c r="E91" t="e">
        <f>NA()</f>
        <v>#N/A</v>
      </c>
      <c r="F91" t="e">
        <f>NA()</f>
        <v>#N/A</v>
      </c>
      <c r="G91">
        <v>1987</v>
      </c>
      <c r="H91">
        <v>18.735489999999999</v>
      </c>
      <c r="I91">
        <v>18.786110000000001</v>
      </c>
      <c r="J91" t="e">
        <f>NA()</f>
        <v>#N/A</v>
      </c>
      <c r="K91" t="e">
        <f>NA()</f>
        <v>#N/A</v>
      </c>
      <c r="L91" t="e">
        <f>NA()</f>
        <v>#N/A</v>
      </c>
      <c r="M91">
        <v>1989</v>
      </c>
      <c r="N91">
        <v>28.719580000000001</v>
      </c>
      <c r="O91">
        <v>28.954059999999998</v>
      </c>
      <c r="P91" t="e">
        <f>NA()</f>
        <v>#N/A</v>
      </c>
      <c r="Q91" t="e">
        <f>NA()</f>
        <v>#N/A</v>
      </c>
      <c r="R91" t="e">
        <f>NA()</f>
        <v>#N/A</v>
      </c>
      <c r="S91" t="e">
        <f>NA()</f>
        <v>#N/A</v>
      </c>
      <c r="T91" t="e">
        <f>NA()</f>
        <v>#N/A</v>
      </c>
      <c r="U91" t="e">
        <f>NA()</f>
        <v>#N/A</v>
      </c>
      <c r="V91" t="e">
        <f>NA()</f>
        <v>#N/A</v>
      </c>
      <c r="W91" t="e">
        <f>NA()</f>
        <v>#N/A</v>
      </c>
      <c r="X91" t="e">
        <f>NA()</f>
        <v>#N/A</v>
      </c>
      <c r="Y91">
        <v>1917</v>
      </c>
      <c r="Z91">
        <v>8.7691970000000001</v>
      </c>
      <c r="AA91">
        <v>8.8363250000000004</v>
      </c>
      <c r="AB91">
        <v>1957</v>
      </c>
      <c r="AC91">
        <v>5.147494</v>
      </c>
      <c r="AD91">
        <v>4.8754559999999998</v>
      </c>
      <c r="AE91">
        <v>1963</v>
      </c>
      <c r="AF91">
        <v>18.251709999999999</v>
      </c>
      <c r="AG91">
        <v>18.427510000000002</v>
      </c>
      <c r="AH91">
        <v>1991</v>
      </c>
      <c r="AI91">
        <v>10.971640000000001</v>
      </c>
      <c r="AJ91">
        <v>10.963200000000001</v>
      </c>
      <c r="AK91" t="e">
        <f>NA()</f>
        <v>#N/A</v>
      </c>
      <c r="AL91" t="e">
        <f>NA()</f>
        <v>#N/A</v>
      </c>
      <c r="AM91" t="e">
        <f>NA()</f>
        <v>#N/A</v>
      </c>
      <c r="AN91">
        <v>1957</v>
      </c>
      <c r="AO91">
        <v>13.718999999999999</v>
      </c>
      <c r="AP91">
        <v>13.74222</v>
      </c>
      <c r="AQ91">
        <v>1969</v>
      </c>
      <c r="AR91">
        <v>9.8861889999999999</v>
      </c>
      <c r="AS91">
        <v>10.24203</v>
      </c>
    </row>
    <row r="92" spans="1:45">
      <c r="A92" t="e">
        <f>NA()</f>
        <v>#N/A</v>
      </c>
      <c r="B92" t="e">
        <f>NA()</f>
        <v>#N/A</v>
      </c>
      <c r="C92" t="e">
        <f>NA()</f>
        <v>#N/A</v>
      </c>
      <c r="D92" t="e">
        <f>NA()</f>
        <v>#N/A</v>
      </c>
      <c r="E92" t="e">
        <f>NA()</f>
        <v>#N/A</v>
      </c>
      <c r="F92" t="e">
        <f>NA()</f>
        <v>#N/A</v>
      </c>
      <c r="G92">
        <v>1988</v>
      </c>
      <c r="H92">
        <v>18.76427</v>
      </c>
      <c r="I92">
        <v>18.774989999999999</v>
      </c>
      <c r="J92" t="e">
        <f>NA()</f>
        <v>#N/A</v>
      </c>
      <c r="K92" t="e">
        <f>NA()</f>
        <v>#N/A</v>
      </c>
      <c r="L92" t="e">
        <f>NA()</f>
        <v>#N/A</v>
      </c>
      <c r="M92">
        <v>1990</v>
      </c>
      <c r="N92">
        <v>28.67483</v>
      </c>
      <c r="O92">
        <v>29.007950000000001</v>
      </c>
      <c r="P92" t="e">
        <f>NA()</f>
        <v>#N/A</v>
      </c>
      <c r="Q92" t="e">
        <f>NA()</f>
        <v>#N/A</v>
      </c>
      <c r="R92" t="e">
        <f>NA()</f>
        <v>#N/A</v>
      </c>
      <c r="S92" t="e">
        <f>NA()</f>
        <v>#N/A</v>
      </c>
      <c r="T92" t="e">
        <f>NA()</f>
        <v>#N/A</v>
      </c>
      <c r="U92" t="e">
        <f>NA()</f>
        <v>#N/A</v>
      </c>
      <c r="V92" t="e">
        <f>NA()</f>
        <v>#N/A</v>
      </c>
      <c r="W92" t="e">
        <f>NA()</f>
        <v>#N/A</v>
      </c>
      <c r="X92" t="e">
        <f>NA()</f>
        <v>#N/A</v>
      </c>
      <c r="Y92">
        <v>1918</v>
      </c>
      <c r="Z92">
        <v>8.9187840000000005</v>
      </c>
      <c r="AA92">
        <v>8.7849079999999997</v>
      </c>
      <c r="AB92">
        <v>1958</v>
      </c>
      <c r="AC92">
        <v>5.0689039999999999</v>
      </c>
      <c r="AD92">
        <v>4.9585369999999998</v>
      </c>
      <c r="AE92">
        <v>1964</v>
      </c>
      <c r="AF92">
        <v>18.301819999999999</v>
      </c>
      <c r="AG92">
        <v>18.439150000000001</v>
      </c>
      <c r="AH92">
        <v>1992</v>
      </c>
      <c r="AI92">
        <v>11.0219</v>
      </c>
      <c r="AJ92">
        <v>11.00906</v>
      </c>
      <c r="AK92" t="e">
        <f>NA()</f>
        <v>#N/A</v>
      </c>
      <c r="AL92" t="e">
        <f>NA()</f>
        <v>#N/A</v>
      </c>
      <c r="AM92" t="e">
        <f>NA()</f>
        <v>#N/A</v>
      </c>
      <c r="AN92">
        <v>1958</v>
      </c>
      <c r="AO92">
        <v>13.604789999999999</v>
      </c>
      <c r="AP92">
        <v>13.78655</v>
      </c>
      <c r="AQ92">
        <v>1970</v>
      </c>
      <c r="AR92">
        <v>9.7618080000000003</v>
      </c>
      <c r="AS92">
        <v>10.241149999999999</v>
      </c>
    </row>
    <row r="93" spans="1:45">
      <c r="A93" t="e">
        <f>NA()</f>
        <v>#N/A</v>
      </c>
      <c r="B93" t="e">
        <f>NA()</f>
        <v>#N/A</v>
      </c>
      <c r="C93" t="e">
        <f>NA()</f>
        <v>#N/A</v>
      </c>
      <c r="D93" t="e">
        <f>NA()</f>
        <v>#N/A</v>
      </c>
      <c r="E93" t="e">
        <f>NA()</f>
        <v>#N/A</v>
      </c>
      <c r="F93" t="e">
        <f>NA()</f>
        <v>#N/A</v>
      </c>
      <c r="G93">
        <v>1989</v>
      </c>
      <c r="H93">
        <v>18.77835</v>
      </c>
      <c r="I93">
        <v>18.790299999999998</v>
      </c>
      <c r="J93" t="e">
        <f>NA()</f>
        <v>#N/A</v>
      </c>
      <c r="K93" t="e">
        <f>NA()</f>
        <v>#N/A</v>
      </c>
      <c r="L93" t="e">
        <f>NA()</f>
        <v>#N/A</v>
      </c>
      <c r="M93">
        <v>1991</v>
      </c>
      <c r="N93">
        <v>28.752700000000001</v>
      </c>
      <c r="O93">
        <v>29.060839999999999</v>
      </c>
      <c r="P93" t="e">
        <f>NA()</f>
        <v>#N/A</v>
      </c>
      <c r="Q93" t="e">
        <f>NA()</f>
        <v>#N/A</v>
      </c>
      <c r="R93" t="e">
        <f>NA()</f>
        <v>#N/A</v>
      </c>
      <c r="S93" t="e">
        <f>NA()</f>
        <v>#N/A</v>
      </c>
      <c r="T93" t="e">
        <f>NA()</f>
        <v>#N/A</v>
      </c>
      <c r="U93" t="e">
        <f>NA()</f>
        <v>#N/A</v>
      </c>
      <c r="V93" t="e">
        <f>NA()</f>
        <v>#N/A</v>
      </c>
      <c r="W93" t="e">
        <f>NA()</f>
        <v>#N/A</v>
      </c>
      <c r="X93" t="e">
        <f>NA()</f>
        <v>#N/A</v>
      </c>
      <c r="Y93">
        <v>1919</v>
      </c>
      <c r="Z93">
        <v>9.251099</v>
      </c>
      <c r="AA93">
        <v>8.8219379999999994</v>
      </c>
      <c r="AB93">
        <v>1959</v>
      </c>
      <c r="AC93">
        <v>5.0689039999999999</v>
      </c>
      <c r="AD93">
        <v>4.8894229999999999</v>
      </c>
      <c r="AE93">
        <v>1965</v>
      </c>
      <c r="AF93">
        <v>18.355139999999999</v>
      </c>
      <c r="AG93">
        <v>18.436679999999999</v>
      </c>
      <c r="AH93">
        <v>1993</v>
      </c>
      <c r="AI93">
        <v>11.320550000000001</v>
      </c>
      <c r="AJ93">
        <v>11.076779999999999</v>
      </c>
      <c r="AK93" t="e">
        <f>NA()</f>
        <v>#N/A</v>
      </c>
      <c r="AL93" t="e">
        <f>NA()</f>
        <v>#N/A</v>
      </c>
      <c r="AM93" t="e">
        <f>NA()</f>
        <v>#N/A</v>
      </c>
      <c r="AN93">
        <v>1959</v>
      </c>
      <c r="AO93">
        <v>13.64709</v>
      </c>
      <c r="AP93">
        <v>13.79682</v>
      </c>
      <c r="AQ93">
        <v>1971</v>
      </c>
      <c r="AR93">
        <v>9.5654950000000003</v>
      </c>
      <c r="AS93">
        <v>10.22855</v>
      </c>
    </row>
    <row r="94" spans="1:45">
      <c r="A94" t="e">
        <f>NA()</f>
        <v>#N/A</v>
      </c>
      <c r="B94" t="e">
        <f>NA()</f>
        <v>#N/A</v>
      </c>
      <c r="C94" t="e">
        <f>NA()</f>
        <v>#N/A</v>
      </c>
      <c r="D94" t="e">
        <f>NA()</f>
        <v>#N/A</v>
      </c>
      <c r="E94" t="e">
        <f>NA()</f>
        <v>#N/A</v>
      </c>
      <c r="F94" t="e">
        <f>NA()</f>
        <v>#N/A</v>
      </c>
      <c r="G94">
        <v>1990</v>
      </c>
      <c r="H94">
        <v>18.785319999999999</v>
      </c>
      <c r="I94">
        <v>18.87144</v>
      </c>
      <c r="J94" t="e">
        <f>NA()</f>
        <v>#N/A</v>
      </c>
      <c r="K94" t="e">
        <f>NA()</f>
        <v>#N/A</v>
      </c>
      <c r="L94" t="e">
        <f>NA()</f>
        <v>#N/A</v>
      </c>
      <c r="M94">
        <v>1992</v>
      </c>
      <c r="N94">
        <v>28.765640000000001</v>
      </c>
      <c r="O94">
        <v>29.118670000000002</v>
      </c>
      <c r="P94" t="e">
        <f>NA()</f>
        <v>#N/A</v>
      </c>
      <c r="Q94" t="e">
        <f>NA()</f>
        <v>#N/A</v>
      </c>
      <c r="R94" t="e">
        <f>NA()</f>
        <v>#N/A</v>
      </c>
      <c r="S94" t="e">
        <f>NA()</f>
        <v>#N/A</v>
      </c>
      <c r="T94" t="e">
        <f>NA()</f>
        <v>#N/A</v>
      </c>
      <c r="U94" t="e">
        <f>NA()</f>
        <v>#N/A</v>
      </c>
      <c r="V94" t="e">
        <f>NA()</f>
        <v>#N/A</v>
      </c>
      <c r="W94" t="e">
        <f>NA()</f>
        <v>#N/A</v>
      </c>
      <c r="X94" t="e">
        <f>NA()</f>
        <v>#N/A</v>
      </c>
      <c r="Y94">
        <v>1920</v>
      </c>
      <c r="Z94">
        <v>9.5340889999999998</v>
      </c>
      <c r="AA94">
        <v>8.9023129999999995</v>
      </c>
      <c r="AB94">
        <v>1960</v>
      </c>
      <c r="AC94">
        <v>5.0304380000000002</v>
      </c>
      <c r="AD94">
        <v>4.9051640000000001</v>
      </c>
      <c r="AE94">
        <v>1966</v>
      </c>
      <c r="AF94">
        <v>18.408480000000001</v>
      </c>
      <c r="AG94">
        <v>18.42849</v>
      </c>
      <c r="AH94" t="e">
        <f>NA()</f>
        <v>#N/A</v>
      </c>
      <c r="AI94" t="e">
        <f>NA()</f>
        <v>#N/A</v>
      </c>
      <c r="AJ94" t="e">
        <f>NA()</f>
        <v>#N/A</v>
      </c>
      <c r="AK94" t="e">
        <f>NA()</f>
        <v>#N/A</v>
      </c>
      <c r="AL94" t="e">
        <f>NA()</f>
        <v>#N/A</v>
      </c>
      <c r="AM94" t="e">
        <f>NA()</f>
        <v>#N/A</v>
      </c>
      <c r="AN94">
        <v>1960</v>
      </c>
      <c r="AO94">
        <v>13.641159999999999</v>
      </c>
      <c r="AP94">
        <v>13.825340000000001</v>
      </c>
      <c r="AQ94">
        <v>1972</v>
      </c>
      <c r="AR94">
        <v>9.5320619999999998</v>
      </c>
      <c r="AS94">
        <v>10.20365</v>
      </c>
    </row>
    <row r="95" spans="1:45">
      <c r="A95" t="e">
        <f>NA()</f>
        <v>#N/A</v>
      </c>
      <c r="B95" t="e">
        <f>NA()</f>
        <v>#N/A</v>
      </c>
      <c r="C95" t="e">
        <f>NA()</f>
        <v>#N/A</v>
      </c>
      <c r="D95" t="e">
        <f>NA()</f>
        <v>#N/A</v>
      </c>
      <c r="E95" t="e">
        <f>NA()</f>
        <v>#N/A</v>
      </c>
      <c r="F95" t="e">
        <f>NA()</f>
        <v>#N/A</v>
      </c>
      <c r="G95">
        <v>1991</v>
      </c>
      <c r="H95">
        <v>18.77835</v>
      </c>
      <c r="I95">
        <v>19.028929999999999</v>
      </c>
      <c r="J95" t="e">
        <f>NA()</f>
        <v>#N/A</v>
      </c>
      <c r="K95" t="e">
        <f>NA()</f>
        <v>#N/A</v>
      </c>
      <c r="L95" t="e">
        <f>NA()</f>
        <v>#N/A</v>
      </c>
      <c r="M95">
        <v>1993</v>
      </c>
      <c r="N95">
        <v>28.794170000000001</v>
      </c>
      <c r="O95">
        <v>29.175280000000001</v>
      </c>
      <c r="P95" t="e">
        <f>NA()</f>
        <v>#N/A</v>
      </c>
      <c r="Q95" t="e">
        <f>NA()</f>
        <v>#N/A</v>
      </c>
      <c r="R95" t="e">
        <f>NA()</f>
        <v>#N/A</v>
      </c>
      <c r="S95" t="e">
        <f>NA()</f>
        <v>#N/A</v>
      </c>
      <c r="T95" t="e">
        <f>NA()</f>
        <v>#N/A</v>
      </c>
      <c r="U95" t="e">
        <f>NA()</f>
        <v>#N/A</v>
      </c>
      <c r="V95" t="e">
        <f>NA()</f>
        <v>#N/A</v>
      </c>
      <c r="W95" t="e">
        <f>NA()</f>
        <v>#N/A</v>
      </c>
      <c r="X95" t="e">
        <f>NA()</f>
        <v>#N/A</v>
      </c>
      <c r="Y95">
        <v>1921</v>
      </c>
      <c r="Z95">
        <v>9.6642779999999995</v>
      </c>
      <c r="AA95">
        <v>9.0142699999999998</v>
      </c>
      <c r="AB95">
        <v>1961</v>
      </c>
      <c r="AC95">
        <v>4.9836070000000001</v>
      </c>
      <c r="AD95">
        <v>4.9257109999999997</v>
      </c>
      <c r="AE95">
        <v>1967</v>
      </c>
      <c r="AF95">
        <v>18.459900000000001</v>
      </c>
      <c r="AG95">
        <v>18.48837</v>
      </c>
      <c r="AH95" t="e">
        <f>NA()</f>
        <v>#N/A</v>
      </c>
      <c r="AI95" t="e">
        <f>NA()</f>
        <v>#N/A</v>
      </c>
      <c r="AJ95" t="e">
        <f>NA()</f>
        <v>#N/A</v>
      </c>
      <c r="AK95" t="e">
        <f>NA()</f>
        <v>#N/A</v>
      </c>
      <c r="AL95" t="e">
        <f>NA()</f>
        <v>#N/A</v>
      </c>
      <c r="AM95" t="e">
        <f>NA()</f>
        <v>#N/A</v>
      </c>
      <c r="AN95">
        <v>1961</v>
      </c>
      <c r="AO95">
        <v>13.62556</v>
      </c>
      <c r="AP95">
        <v>13.855449999999999</v>
      </c>
      <c r="AQ95">
        <v>1973</v>
      </c>
      <c r="AR95">
        <v>9.614471</v>
      </c>
      <c r="AS95">
        <v>10.17536</v>
      </c>
    </row>
    <row r="96" spans="1:45">
      <c r="A96" t="e">
        <f>NA()</f>
        <v>#N/A</v>
      </c>
      <c r="B96" t="e">
        <f>NA()</f>
        <v>#N/A</v>
      </c>
      <c r="C96" t="e">
        <f>NA()</f>
        <v>#N/A</v>
      </c>
      <c r="D96" t="e">
        <f>NA()</f>
        <v>#N/A</v>
      </c>
      <c r="E96" t="e">
        <f>NA()</f>
        <v>#N/A</v>
      </c>
      <c r="F96" t="e">
        <f>NA()</f>
        <v>#N/A</v>
      </c>
      <c r="G96">
        <v>1992</v>
      </c>
      <c r="H96">
        <v>18.785319999999999</v>
      </c>
      <c r="I96">
        <v>19.065159999999999</v>
      </c>
      <c r="J96" t="e">
        <f>NA()</f>
        <v>#N/A</v>
      </c>
      <c r="K96" t="e">
        <f>NA()</f>
        <v>#N/A</v>
      </c>
      <c r="L96" t="e">
        <f>NA()</f>
        <v>#N/A</v>
      </c>
      <c r="M96" t="e">
        <f>NA()</f>
        <v>#N/A</v>
      </c>
      <c r="N96" t="e">
        <f>NA()</f>
        <v>#N/A</v>
      </c>
      <c r="O96" t="e">
        <f>NA()</f>
        <v>#N/A</v>
      </c>
      <c r="P96" t="e">
        <f>NA()</f>
        <v>#N/A</v>
      </c>
      <c r="Q96" t="e">
        <f>NA()</f>
        <v>#N/A</v>
      </c>
      <c r="R96" t="e">
        <f>NA()</f>
        <v>#N/A</v>
      </c>
      <c r="S96" t="e">
        <f>NA()</f>
        <v>#N/A</v>
      </c>
      <c r="T96" t="e">
        <f>NA()</f>
        <v>#N/A</v>
      </c>
      <c r="U96" t="e">
        <f>NA()</f>
        <v>#N/A</v>
      </c>
      <c r="V96" t="e">
        <f>NA()</f>
        <v>#N/A</v>
      </c>
      <c r="W96" t="e">
        <f>NA()</f>
        <v>#N/A</v>
      </c>
      <c r="X96" t="e">
        <f>NA()</f>
        <v>#N/A</v>
      </c>
      <c r="Y96">
        <v>1922</v>
      </c>
      <c r="Z96">
        <v>9.6792180000000005</v>
      </c>
      <c r="AA96">
        <v>9.0121970000000005</v>
      </c>
      <c r="AB96">
        <v>1962</v>
      </c>
      <c r="AC96">
        <v>4.94876</v>
      </c>
      <c r="AD96">
        <v>4.8765729999999996</v>
      </c>
      <c r="AE96">
        <v>1968</v>
      </c>
      <c r="AF96">
        <v>18.50686</v>
      </c>
      <c r="AG96">
        <v>18.506139999999998</v>
      </c>
      <c r="AH96" t="e">
        <f>NA()</f>
        <v>#N/A</v>
      </c>
      <c r="AI96" t="e">
        <f>NA()</f>
        <v>#N/A</v>
      </c>
      <c r="AJ96" t="e">
        <f>NA()</f>
        <v>#N/A</v>
      </c>
      <c r="AK96" t="e">
        <f>NA()</f>
        <v>#N/A</v>
      </c>
      <c r="AL96" t="e">
        <f>NA()</f>
        <v>#N/A</v>
      </c>
      <c r="AM96" t="e">
        <f>NA()</f>
        <v>#N/A</v>
      </c>
      <c r="AN96">
        <v>1962</v>
      </c>
      <c r="AO96">
        <v>13.67625</v>
      </c>
      <c r="AP96">
        <v>13.86903</v>
      </c>
      <c r="AQ96">
        <v>1974</v>
      </c>
      <c r="AR96">
        <v>9.7204660000000001</v>
      </c>
      <c r="AS96">
        <v>10.17257</v>
      </c>
    </row>
    <row r="97" spans="1:45">
      <c r="A97" t="e">
        <f>NA()</f>
        <v>#N/A</v>
      </c>
      <c r="B97" t="e">
        <f>NA()</f>
        <v>#N/A</v>
      </c>
      <c r="C97" t="e">
        <f>NA()</f>
        <v>#N/A</v>
      </c>
      <c r="D97" t="e">
        <f>NA()</f>
        <v>#N/A</v>
      </c>
      <c r="E97" t="e">
        <f>NA()</f>
        <v>#N/A</v>
      </c>
      <c r="F97" t="e">
        <f>NA()</f>
        <v>#N/A</v>
      </c>
      <c r="G97">
        <v>1993</v>
      </c>
      <c r="H97">
        <v>18.799119999999998</v>
      </c>
      <c r="I97">
        <v>19.121479999999998</v>
      </c>
      <c r="J97" t="e">
        <f>NA()</f>
        <v>#N/A</v>
      </c>
      <c r="K97" t="e">
        <f>NA()</f>
        <v>#N/A</v>
      </c>
      <c r="L97" t="e">
        <f>NA()</f>
        <v>#N/A</v>
      </c>
      <c r="M97" t="e">
        <f>NA()</f>
        <v>#N/A</v>
      </c>
      <c r="N97" t="e">
        <f>NA()</f>
        <v>#N/A</v>
      </c>
      <c r="O97" t="e">
        <f>NA()</f>
        <v>#N/A</v>
      </c>
      <c r="P97" t="e">
        <f>NA()</f>
        <v>#N/A</v>
      </c>
      <c r="Q97" t="e">
        <f>NA()</f>
        <v>#N/A</v>
      </c>
      <c r="R97" t="e">
        <f>NA()</f>
        <v>#N/A</v>
      </c>
      <c r="S97" t="e">
        <f>NA()</f>
        <v>#N/A</v>
      </c>
      <c r="T97" t="e">
        <f>NA()</f>
        <v>#N/A</v>
      </c>
      <c r="U97" t="e">
        <f>NA()</f>
        <v>#N/A</v>
      </c>
      <c r="V97" t="e">
        <f>NA()</f>
        <v>#N/A</v>
      </c>
      <c r="W97" t="e">
        <f>NA()</f>
        <v>#N/A</v>
      </c>
      <c r="X97" t="e">
        <f>NA()</f>
        <v>#N/A</v>
      </c>
      <c r="Y97">
        <v>1923</v>
      </c>
      <c r="Z97">
        <v>9.6690930000000002</v>
      </c>
      <c r="AA97">
        <v>8.9250919999999994</v>
      </c>
      <c r="AB97">
        <v>1963</v>
      </c>
      <c r="AC97">
        <v>4.8978400000000004</v>
      </c>
      <c r="AD97">
        <v>4.8546699999999996</v>
      </c>
      <c r="AE97">
        <v>1969</v>
      </c>
      <c r="AF97">
        <v>18.56044</v>
      </c>
      <c r="AG97">
        <v>18.551490000000001</v>
      </c>
      <c r="AH97" t="e">
        <f>NA()</f>
        <v>#N/A</v>
      </c>
      <c r="AI97" t="e">
        <f>NA()</f>
        <v>#N/A</v>
      </c>
      <c r="AJ97" t="e">
        <f>NA()</f>
        <v>#N/A</v>
      </c>
      <c r="AK97" t="e">
        <f>NA()</f>
        <v>#N/A</v>
      </c>
      <c r="AL97" t="e">
        <f>NA()</f>
        <v>#N/A</v>
      </c>
      <c r="AM97" t="e">
        <f>NA()</f>
        <v>#N/A</v>
      </c>
      <c r="AN97">
        <v>1963</v>
      </c>
      <c r="AO97">
        <v>13.724489999999999</v>
      </c>
      <c r="AP97">
        <v>13.887879999999999</v>
      </c>
      <c r="AQ97">
        <v>1975</v>
      </c>
      <c r="AR97">
        <v>9.6623710000000003</v>
      </c>
      <c r="AS97">
        <v>10.170769999999999</v>
      </c>
    </row>
    <row r="98" spans="1:45">
      <c r="A98" t="e">
        <f>NA()</f>
        <v>#N/A</v>
      </c>
      <c r="B98" t="e">
        <f>NA()</f>
        <v>#N/A</v>
      </c>
      <c r="C98" t="e">
        <f>NA()</f>
        <v>#N/A</v>
      </c>
      <c r="D98" t="e">
        <f>NA()</f>
        <v>#N/A</v>
      </c>
      <c r="E98" t="e">
        <f>NA()</f>
        <v>#N/A</v>
      </c>
      <c r="F98" t="e">
        <f>NA()</f>
        <v>#N/A</v>
      </c>
      <c r="G98" t="e">
        <f>NA()</f>
        <v>#N/A</v>
      </c>
      <c r="H98" t="e">
        <f>NA()</f>
        <v>#N/A</v>
      </c>
      <c r="I98" t="e">
        <f>NA()</f>
        <v>#N/A</v>
      </c>
      <c r="J98" t="e">
        <f>NA()</f>
        <v>#N/A</v>
      </c>
      <c r="K98" t="e">
        <f>NA()</f>
        <v>#N/A</v>
      </c>
      <c r="L98" t="e">
        <f>NA()</f>
        <v>#N/A</v>
      </c>
      <c r="M98" t="e">
        <f>NA()</f>
        <v>#N/A</v>
      </c>
      <c r="N98" t="e">
        <f>NA()</f>
        <v>#N/A</v>
      </c>
      <c r="O98" t="e">
        <f>NA()</f>
        <v>#N/A</v>
      </c>
      <c r="P98" t="e">
        <f>NA()</f>
        <v>#N/A</v>
      </c>
      <c r="Q98" t="e">
        <f>NA()</f>
        <v>#N/A</v>
      </c>
      <c r="R98" t="e">
        <f>NA()</f>
        <v>#N/A</v>
      </c>
      <c r="S98" t="e">
        <f>NA()</f>
        <v>#N/A</v>
      </c>
      <c r="T98" t="e">
        <f>NA()</f>
        <v>#N/A</v>
      </c>
      <c r="U98" t="e">
        <f>NA()</f>
        <v>#N/A</v>
      </c>
      <c r="V98" t="e">
        <f>NA()</f>
        <v>#N/A</v>
      </c>
      <c r="W98" t="e">
        <f>NA()</f>
        <v>#N/A</v>
      </c>
      <c r="X98" t="e">
        <f>NA()</f>
        <v>#N/A</v>
      </c>
      <c r="Y98">
        <v>1924</v>
      </c>
      <c r="Z98">
        <v>9.6365879999999997</v>
      </c>
      <c r="AA98">
        <v>8.9663229999999992</v>
      </c>
      <c r="AB98">
        <v>1964</v>
      </c>
      <c r="AC98">
        <v>4.8441869999999998</v>
      </c>
      <c r="AD98">
        <v>4.8052440000000001</v>
      </c>
      <c r="AE98">
        <v>1970</v>
      </c>
      <c r="AF98">
        <v>18.603000000000002</v>
      </c>
      <c r="AG98">
        <v>18.65456</v>
      </c>
      <c r="AH98" t="e">
        <f>NA()</f>
        <v>#N/A</v>
      </c>
      <c r="AI98" t="e">
        <f>NA()</f>
        <v>#N/A</v>
      </c>
      <c r="AJ98" t="e">
        <f>NA()</f>
        <v>#N/A</v>
      </c>
      <c r="AK98" t="e">
        <f>NA()</f>
        <v>#N/A</v>
      </c>
      <c r="AL98" t="e">
        <f>NA()</f>
        <v>#N/A</v>
      </c>
      <c r="AM98" t="e">
        <f>NA()</f>
        <v>#N/A</v>
      </c>
      <c r="AN98">
        <v>1964</v>
      </c>
      <c r="AO98">
        <v>13.78195</v>
      </c>
      <c r="AP98">
        <v>13.90016</v>
      </c>
      <c r="AQ98">
        <v>1976</v>
      </c>
      <c r="AR98">
        <v>9.6606509999999997</v>
      </c>
      <c r="AS98">
        <v>10.144080000000001</v>
      </c>
    </row>
    <row r="99" spans="1:45">
      <c r="A99" t="e">
        <f>NA()</f>
        <v>#N/A</v>
      </c>
      <c r="B99" t="e">
        <f>NA()</f>
        <v>#N/A</v>
      </c>
      <c r="C99" t="e">
        <f>NA()</f>
        <v>#N/A</v>
      </c>
      <c r="D99" t="e">
        <f>NA()</f>
        <v>#N/A</v>
      </c>
      <c r="E99" t="e">
        <f>NA()</f>
        <v>#N/A</v>
      </c>
      <c r="F99" t="e">
        <f>NA()</f>
        <v>#N/A</v>
      </c>
      <c r="G99" t="e">
        <f>NA()</f>
        <v>#N/A</v>
      </c>
      <c r="H99" t="e">
        <f>NA()</f>
        <v>#N/A</v>
      </c>
      <c r="I99" t="e">
        <f>NA()</f>
        <v>#N/A</v>
      </c>
      <c r="J99" t="e">
        <f>NA()</f>
        <v>#N/A</v>
      </c>
      <c r="K99" t="e">
        <f>NA()</f>
        <v>#N/A</v>
      </c>
      <c r="L99" t="e">
        <f>NA()</f>
        <v>#N/A</v>
      </c>
      <c r="M99" t="e">
        <f>NA()</f>
        <v>#N/A</v>
      </c>
      <c r="N99" t="e">
        <f>NA()</f>
        <v>#N/A</v>
      </c>
      <c r="O99" t="e">
        <f>NA()</f>
        <v>#N/A</v>
      </c>
      <c r="P99" t="e">
        <f>NA()</f>
        <v>#N/A</v>
      </c>
      <c r="Q99" t="e">
        <f>NA()</f>
        <v>#N/A</v>
      </c>
      <c r="R99" t="e">
        <f>NA()</f>
        <v>#N/A</v>
      </c>
      <c r="S99" t="e">
        <f>NA()</f>
        <v>#N/A</v>
      </c>
      <c r="T99" t="e">
        <f>NA()</f>
        <v>#N/A</v>
      </c>
      <c r="U99" t="e">
        <f>NA()</f>
        <v>#N/A</v>
      </c>
      <c r="V99" t="e">
        <f>NA()</f>
        <v>#N/A</v>
      </c>
      <c r="W99" t="e">
        <f>NA()</f>
        <v>#N/A</v>
      </c>
      <c r="X99" t="e">
        <f>NA()</f>
        <v>#N/A</v>
      </c>
      <c r="Y99">
        <v>1925</v>
      </c>
      <c r="Z99">
        <v>9.6142040000000009</v>
      </c>
      <c r="AA99">
        <v>9.0073249999999998</v>
      </c>
      <c r="AB99">
        <v>1965</v>
      </c>
      <c r="AC99">
        <v>4.8202819999999997</v>
      </c>
      <c r="AD99">
        <v>4.7413720000000001</v>
      </c>
      <c r="AE99">
        <v>1971</v>
      </c>
      <c r="AF99">
        <v>18.643820000000002</v>
      </c>
      <c r="AG99">
        <v>18.70787</v>
      </c>
      <c r="AH99" t="e">
        <f>NA()</f>
        <v>#N/A</v>
      </c>
      <c r="AI99" t="e">
        <f>NA()</f>
        <v>#N/A</v>
      </c>
      <c r="AJ99" t="e">
        <f>NA()</f>
        <v>#N/A</v>
      </c>
      <c r="AK99" t="e">
        <f>NA()</f>
        <v>#N/A</v>
      </c>
      <c r="AL99" t="e">
        <f>NA()</f>
        <v>#N/A</v>
      </c>
      <c r="AM99" t="e">
        <f>NA()</f>
        <v>#N/A</v>
      </c>
      <c r="AN99">
        <v>1965</v>
      </c>
      <c r="AO99">
        <v>13.81551</v>
      </c>
      <c r="AP99">
        <v>13.90809</v>
      </c>
      <c r="AQ99">
        <v>1977</v>
      </c>
      <c r="AR99">
        <v>9.7150470000000002</v>
      </c>
      <c r="AS99">
        <v>10.121180000000001</v>
      </c>
    </row>
    <row r="100" spans="1:45">
      <c r="A100" t="e">
        <f>NA()</f>
        <v>#N/A</v>
      </c>
      <c r="B100" t="e">
        <f>NA()</f>
        <v>#N/A</v>
      </c>
      <c r="C100" t="e">
        <f>NA()</f>
        <v>#N/A</v>
      </c>
      <c r="D100" t="e">
        <f>NA()</f>
        <v>#N/A</v>
      </c>
      <c r="E100" t="e">
        <f>NA()</f>
        <v>#N/A</v>
      </c>
      <c r="F100" t="e">
        <f>NA()</f>
        <v>#N/A</v>
      </c>
      <c r="G100" t="e">
        <f>NA()</f>
        <v>#N/A</v>
      </c>
      <c r="H100" t="e">
        <f>NA()</f>
        <v>#N/A</v>
      </c>
      <c r="I100" t="e">
        <f>NA()</f>
        <v>#N/A</v>
      </c>
      <c r="J100" t="e">
        <f>NA()</f>
        <v>#N/A</v>
      </c>
      <c r="K100" t="e">
        <f>NA()</f>
        <v>#N/A</v>
      </c>
      <c r="L100" t="e">
        <f>NA()</f>
        <v>#N/A</v>
      </c>
      <c r="M100" t="e">
        <f>NA()</f>
        <v>#N/A</v>
      </c>
      <c r="N100" t="e">
        <f>NA()</f>
        <v>#N/A</v>
      </c>
      <c r="O100" t="e">
        <f>NA()</f>
        <v>#N/A</v>
      </c>
      <c r="P100" t="e">
        <f>NA()</f>
        <v>#N/A</v>
      </c>
      <c r="Q100" t="e">
        <f>NA()</f>
        <v>#N/A</v>
      </c>
      <c r="R100" t="e">
        <f>NA()</f>
        <v>#N/A</v>
      </c>
      <c r="S100" t="e">
        <f>NA()</f>
        <v>#N/A</v>
      </c>
      <c r="T100" t="e">
        <f>NA()</f>
        <v>#N/A</v>
      </c>
      <c r="U100" t="e">
        <f>NA()</f>
        <v>#N/A</v>
      </c>
      <c r="V100" t="e">
        <f>NA()</f>
        <v>#N/A</v>
      </c>
      <c r="W100" t="e">
        <f>NA()</f>
        <v>#N/A</v>
      </c>
      <c r="X100" t="e">
        <f>NA()</f>
        <v>#N/A</v>
      </c>
      <c r="Y100">
        <v>1926</v>
      </c>
      <c r="Z100">
        <v>9.60562</v>
      </c>
      <c r="AA100">
        <v>8.9916730000000005</v>
      </c>
      <c r="AB100">
        <v>1966</v>
      </c>
      <c r="AC100">
        <v>4.8121840000000002</v>
      </c>
      <c r="AD100">
        <v>4.6716749999999996</v>
      </c>
      <c r="AE100">
        <v>1972</v>
      </c>
      <c r="AF100">
        <v>18.690709999999999</v>
      </c>
      <c r="AG100">
        <v>18.71782</v>
      </c>
      <c r="AH100" t="e">
        <f>NA()</f>
        <v>#N/A</v>
      </c>
      <c r="AI100" t="e">
        <f>NA()</f>
        <v>#N/A</v>
      </c>
      <c r="AJ100" t="e">
        <f>NA()</f>
        <v>#N/A</v>
      </c>
      <c r="AK100" t="e">
        <f>NA()</f>
        <v>#N/A</v>
      </c>
      <c r="AL100" t="e">
        <f>NA()</f>
        <v>#N/A</v>
      </c>
      <c r="AM100" t="e">
        <f>NA()</f>
        <v>#N/A</v>
      </c>
      <c r="AN100">
        <v>1966</v>
      </c>
      <c r="AO100">
        <v>13.910819999999999</v>
      </c>
      <c r="AP100">
        <v>13.91394</v>
      </c>
      <c r="AQ100">
        <v>1978</v>
      </c>
      <c r="AR100">
        <v>9.708202</v>
      </c>
      <c r="AS100">
        <v>10.093959999999999</v>
      </c>
    </row>
    <row r="101" spans="1:45">
      <c r="A101" t="e">
        <f>NA()</f>
        <v>#N/A</v>
      </c>
      <c r="B101" t="e">
        <f>NA()</f>
        <v>#N/A</v>
      </c>
      <c r="C101" t="e">
        <f>NA()</f>
        <v>#N/A</v>
      </c>
      <c r="D101" t="e">
        <f>NA()</f>
        <v>#N/A</v>
      </c>
      <c r="E101" t="e">
        <f>NA()</f>
        <v>#N/A</v>
      </c>
      <c r="F101" t="e">
        <f>NA()</f>
        <v>#N/A</v>
      </c>
      <c r="G101" t="e">
        <f>NA()</f>
        <v>#N/A</v>
      </c>
      <c r="H101" t="e">
        <f>NA()</f>
        <v>#N/A</v>
      </c>
      <c r="I101" t="e">
        <f>NA()</f>
        <v>#N/A</v>
      </c>
      <c r="J101" t="e">
        <f>NA()</f>
        <v>#N/A</v>
      </c>
      <c r="K101" t="e">
        <f>NA()</f>
        <v>#N/A</v>
      </c>
      <c r="L101" t="e">
        <f>NA()</f>
        <v>#N/A</v>
      </c>
      <c r="M101" t="e">
        <f>NA()</f>
        <v>#N/A</v>
      </c>
      <c r="N101" t="e">
        <f>NA()</f>
        <v>#N/A</v>
      </c>
      <c r="O101" t="e">
        <f>NA()</f>
        <v>#N/A</v>
      </c>
      <c r="P101" t="e">
        <f>NA()</f>
        <v>#N/A</v>
      </c>
      <c r="Q101" t="e">
        <f>NA()</f>
        <v>#N/A</v>
      </c>
      <c r="R101" t="e">
        <f>NA()</f>
        <v>#N/A</v>
      </c>
      <c r="S101" t="e">
        <f>NA()</f>
        <v>#N/A</v>
      </c>
      <c r="T101" t="e">
        <f>NA()</f>
        <v>#N/A</v>
      </c>
      <c r="U101" t="e">
        <f>NA()</f>
        <v>#N/A</v>
      </c>
      <c r="V101" t="e">
        <f>NA()</f>
        <v>#N/A</v>
      </c>
      <c r="W101" t="e">
        <f>NA()</f>
        <v>#N/A</v>
      </c>
      <c r="X101" t="e">
        <f>NA()</f>
        <v>#N/A</v>
      </c>
      <c r="Y101">
        <v>1927</v>
      </c>
      <c r="Z101">
        <v>9.5823870000000007</v>
      </c>
      <c r="AA101">
        <v>9.0471249999999994</v>
      </c>
      <c r="AB101">
        <v>1967</v>
      </c>
      <c r="AC101">
        <v>4.7791230000000002</v>
      </c>
      <c r="AD101">
        <v>4.6720540000000002</v>
      </c>
      <c r="AE101">
        <v>1973</v>
      </c>
      <c r="AF101">
        <v>18.742760000000001</v>
      </c>
      <c r="AG101">
        <v>18.717880000000001</v>
      </c>
      <c r="AH101" t="e">
        <f>NA()</f>
        <v>#N/A</v>
      </c>
      <c r="AI101" t="e">
        <f>NA()</f>
        <v>#N/A</v>
      </c>
      <c r="AJ101" t="e">
        <f>NA()</f>
        <v>#N/A</v>
      </c>
      <c r="AK101" t="e">
        <f>NA()</f>
        <v>#N/A</v>
      </c>
      <c r="AL101" t="e">
        <f>NA()</f>
        <v>#N/A</v>
      </c>
      <c r="AM101" t="e">
        <f>NA()</f>
        <v>#N/A</v>
      </c>
      <c r="AN101">
        <v>1967</v>
      </c>
      <c r="AO101">
        <v>13.910819999999999</v>
      </c>
      <c r="AP101">
        <v>13.934900000000001</v>
      </c>
      <c r="AQ101">
        <v>1979</v>
      </c>
      <c r="AR101">
        <v>9.7995149999999995</v>
      </c>
      <c r="AS101">
        <v>10.077249999999999</v>
      </c>
    </row>
    <row r="102" spans="1:45">
      <c r="A102" t="e">
        <f>NA()</f>
        <v>#N/A</v>
      </c>
      <c r="B102" t="e">
        <f>NA()</f>
        <v>#N/A</v>
      </c>
      <c r="C102" t="e">
        <f>NA()</f>
        <v>#N/A</v>
      </c>
      <c r="D102" t="e">
        <f>NA()</f>
        <v>#N/A</v>
      </c>
      <c r="E102" t="e">
        <f>NA()</f>
        <v>#N/A</v>
      </c>
      <c r="F102" t="e">
        <f>NA()</f>
        <v>#N/A</v>
      </c>
      <c r="G102" t="e">
        <f>NA()</f>
        <v>#N/A</v>
      </c>
      <c r="H102" t="e">
        <f>NA()</f>
        <v>#N/A</v>
      </c>
      <c r="I102" t="e">
        <f>NA()</f>
        <v>#N/A</v>
      </c>
      <c r="J102" t="e">
        <f>NA()</f>
        <v>#N/A</v>
      </c>
      <c r="K102" t="e">
        <f>NA()</f>
        <v>#N/A</v>
      </c>
      <c r="L102" t="e">
        <f>NA()</f>
        <v>#N/A</v>
      </c>
      <c r="M102" t="e">
        <f>NA()</f>
        <v>#N/A</v>
      </c>
      <c r="N102" t="e">
        <f>NA()</f>
        <v>#N/A</v>
      </c>
      <c r="O102" t="e">
        <f>NA()</f>
        <v>#N/A</v>
      </c>
      <c r="P102" t="e">
        <f>NA()</f>
        <v>#N/A</v>
      </c>
      <c r="Q102" t="e">
        <f>NA()</f>
        <v>#N/A</v>
      </c>
      <c r="R102" t="e">
        <f>NA()</f>
        <v>#N/A</v>
      </c>
      <c r="S102" t="e">
        <f>NA()</f>
        <v>#N/A</v>
      </c>
      <c r="T102" t="e">
        <f>NA()</f>
        <v>#N/A</v>
      </c>
      <c r="U102" t="e">
        <f>NA()</f>
        <v>#N/A</v>
      </c>
      <c r="V102" t="e">
        <f>NA()</f>
        <v>#N/A</v>
      </c>
      <c r="W102" t="e">
        <f>NA()</f>
        <v>#N/A</v>
      </c>
      <c r="X102" t="e">
        <f>NA()</f>
        <v>#N/A</v>
      </c>
      <c r="Y102">
        <v>1928</v>
      </c>
      <c r="Z102">
        <v>9.5710870000000003</v>
      </c>
      <c r="AA102">
        <v>9.0970879999999994</v>
      </c>
      <c r="AB102">
        <v>1968</v>
      </c>
      <c r="AC102">
        <v>4.75359</v>
      </c>
      <c r="AD102">
        <v>4.6291679999999999</v>
      </c>
      <c r="AE102">
        <v>1974</v>
      </c>
      <c r="AF102">
        <v>18.785319999999999</v>
      </c>
      <c r="AG102">
        <v>18.8216</v>
      </c>
      <c r="AH102" t="e">
        <f>NA()</f>
        <v>#N/A</v>
      </c>
      <c r="AI102" t="e">
        <f>NA()</f>
        <v>#N/A</v>
      </c>
      <c r="AJ102" t="e">
        <f>NA()</f>
        <v>#N/A</v>
      </c>
      <c r="AK102" t="e">
        <f>NA()</f>
        <v>#N/A</v>
      </c>
      <c r="AL102" t="e">
        <f>NA()</f>
        <v>#N/A</v>
      </c>
      <c r="AM102" t="e">
        <f>NA()</f>
        <v>#N/A</v>
      </c>
      <c r="AN102">
        <v>1968</v>
      </c>
      <c r="AO102">
        <v>13.910819999999999</v>
      </c>
      <c r="AP102">
        <v>13.945460000000001</v>
      </c>
      <c r="AQ102">
        <v>1980</v>
      </c>
      <c r="AR102">
        <v>9.7810369999999995</v>
      </c>
      <c r="AS102">
        <v>10.076449999999999</v>
      </c>
    </row>
    <row r="103" spans="1:45">
      <c r="A103" t="e">
        <f>NA()</f>
        <v>#N/A</v>
      </c>
      <c r="B103" t="e">
        <f>NA()</f>
        <v>#N/A</v>
      </c>
      <c r="C103" t="e">
        <f>NA()</f>
        <v>#N/A</v>
      </c>
      <c r="D103" t="e">
        <f>NA()</f>
        <v>#N/A</v>
      </c>
      <c r="E103" t="e">
        <f>NA()</f>
        <v>#N/A</v>
      </c>
      <c r="F103" t="e">
        <f>NA()</f>
        <v>#N/A</v>
      </c>
      <c r="G103" t="e">
        <f>NA()</f>
        <v>#N/A</v>
      </c>
      <c r="H103" t="e">
        <f>NA()</f>
        <v>#N/A</v>
      </c>
      <c r="I103" t="e">
        <f>NA()</f>
        <v>#N/A</v>
      </c>
      <c r="J103" t="e">
        <f>NA()</f>
        <v>#N/A</v>
      </c>
      <c r="K103" t="e">
        <f>NA()</f>
        <v>#N/A</v>
      </c>
      <c r="L103" t="e">
        <f>NA()</f>
        <v>#N/A</v>
      </c>
      <c r="M103" t="e">
        <f>NA()</f>
        <v>#N/A</v>
      </c>
      <c r="N103" t="e">
        <f>NA()</f>
        <v>#N/A</v>
      </c>
      <c r="O103" t="e">
        <f>NA()</f>
        <v>#N/A</v>
      </c>
      <c r="P103" t="e">
        <f>NA()</f>
        <v>#N/A</v>
      </c>
      <c r="Q103" t="e">
        <f>NA()</f>
        <v>#N/A</v>
      </c>
      <c r="R103" t="e">
        <f>NA()</f>
        <v>#N/A</v>
      </c>
      <c r="S103" t="e">
        <f>NA()</f>
        <v>#N/A</v>
      </c>
      <c r="T103" t="e">
        <f>NA()</f>
        <v>#N/A</v>
      </c>
      <c r="U103" t="e">
        <f>NA()</f>
        <v>#N/A</v>
      </c>
      <c r="V103" t="e">
        <f>NA()</f>
        <v>#N/A</v>
      </c>
      <c r="W103" t="e">
        <f>NA()</f>
        <v>#N/A</v>
      </c>
      <c r="X103" t="e">
        <f>NA()</f>
        <v>#N/A</v>
      </c>
      <c r="Y103">
        <v>1929</v>
      </c>
      <c r="Z103">
        <v>9.5583170000000006</v>
      </c>
      <c r="AA103">
        <v>9.0792319999999993</v>
      </c>
      <c r="AB103">
        <v>1969</v>
      </c>
      <c r="AC103">
        <v>4.6913479999999996</v>
      </c>
      <c r="AD103">
        <v>4.6146789999999998</v>
      </c>
      <c r="AE103">
        <v>1975</v>
      </c>
      <c r="AF103">
        <v>18.819459999999999</v>
      </c>
      <c r="AG103">
        <v>18.927240000000001</v>
      </c>
      <c r="AH103" t="e">
        <f>NA()</f>
        <v>#N/A</v>
      </c>
      <c r="AI103" t="e">
        <f>NA()</f>
        <v>#N/A</v>
      </c>
      <c r="AJ103" t="e">
        <f>NA()</f>
        <v>#N/A</v>
      </c>
      <c r="AK103" t="e">
        <f>NA()</f>
        <v>#N/A</v>
      </c>
      <c r="AL103" t="e">
        <f>NA()</f>
        <v>#N/A</v>
      </c>
      <c r="AM103" t="e">
        <f>NA()</f>
        <v>#N/A</v>
      </c>
      <c r="AN103">
        <v>1969</v>
      </c>
      <c r="AO103">
        <v>13.910819999999999</v>
      </c>
      <c r="AP103">
        <v>13.962160000000001</v>
      </c>
      <c r="AQ103">
        <v>1981</v>
      </c>
      <c r="AR103">
        <v>9.8185280000000006</v>
      </c>
      <c r="AS103">
        <v>10.061769999999999</v>
      </c>
    </row>
    <row r="104" spans="1:45">
      <c r="A104" t="e">
        <f>NA()</f>
        <v>#N/A</v>
      </c>
      <c r="B104" t="e">
        <f>NA()</f>
        <v>#N/A</v>
      </c>
      <c r="C104" t="e">
        <f>NA()</f>
        <v>#N/A</v>
      </c>
      <c r="D104" t="e">
        <f>NA()</f>
        <v>#N/A</v>
      </c>
      <c r="E104" t="e">
        <f>NA()</f>
        <v>#N/A</v>
      </c>
      <c r="F104" t="e">
        <f>NA()</f>
        <v>#N/A</v>
      </c>
      <c r="G104" t="e">
        <f>NA()</f>
        <v>#N/A</v>
      </c>
      <c r="H104" t="e">
        <f>NA()</f>
        <v>#N/A</v>
      </c>
      <c r="I104" t="e">
        <f>NA()</f>
        <v>#N/A</v>
      </c>
      <c r="J104" t="e">
        <f>NA()</f>
        <v>#N/A</v>
      </c>
      <c r="K104" t="e">
        <f>NA()</f>
        <v>#N/A</v>
      </c>
      <c r="L104" t="e">
        <f>NA()</f>
        <v>#N/A</v>
      </c>
      <c r="M104" t="e">
        <f>NA()</f>
        <v>#N/A</v>
      </c>
      <c r="N104" t="e">
        <f>NA()</f>
        <v>#N/A</v>
      </c>
      <c r="O104" t="e">
        <f>NA()</f>
        <v>#N/A</v>
      </c>
      <c r="P104" t="e">
        <f>NA()</f>
        <v>#N/A</v>
      </c>
      <c r="Q104" t="e">
        <f>NA()</f>
        <v>#N/A</v>
      </c>
      <c r="R104" t="e">
        <f>NA()</f>
        <v>#N/A</v>
      </c>
      <c r="S104" t="e">
        <f>NA()</f>
        <v>#N/A</v>
      </c>
      <c r="T104" t="e">
        <f>NA()</f>
        <v>#N/A</v>
      </c>
      <c r="U104" t="e">
        <f>NA()</f>
        <v>#N/A</v>
      </c>
      <c r="V104" t="e">
        <f>NA()</f>
        <v>#N/A</v>
      </c>
      <c r="W104" t="e">
        <f>NA()</f>
        <v>#N/A</v>
      </c>
      <c r="X104" t="e">
        <f>NA()</f>
        <v>#N/A</v>
      </c>
      <c r="Y104">
        <v>1930</v>
      </c>
      <c r="Z104">
        <v>9.5293030000000005</v>
      </c>
      <c r="AA104">
        <v>9.2651699999999995</v>
      </c>
      <c r="AB104">
        <v>1970</v>
      </c>
      <c r="AC104">
        <v>4.6249729999999998</v>
      </c>
      <c r="AD104">
        <v>4.6595639999999996</v>
      </c>
      <c r="AE104">
        <v>1976</v>
      </c>
      <c r="AF104">
        <v>18.85894</v>
      </c>
      <c r="AG104">
        <v>18.93431</v>
      </c>
      <c r="AH104" t="e">
        <f>NA()</f>
        <v>#N/A</v>
      </c>
      <c r="AI104" t="e">
        <f>NA()</f>
        <v>#N/A</v>
      </c>
      <c r="AJ104" t="e">
        <f>NA()</f>
        <v>#N/A</v>
      </c>
      <c r="AK104" t="e">
        <f>NA()</f>
        <v>#N/A</v>
      </c>
      <c r="AL104" t="e">
        <f>NA()</f>
        <v>#N/A</v>
      </c>
      <c r="AM104" t="e">
        <f>NA()</f>
        <v>#N/A</v>
      </c>
      <c r="AN104">
        <v>1970</v>
      </c>
      <c r="AO104">
        <v>13.910819999999999</v>
      </c>
      <c r="AP104">
        <v>13.993550000000001</v>
      </c>
      <c r="AQ104">
        <v>1982</v>
      </c>
      <c r="AR104">
        <v>9.7389670000000006</v>
      </c>
      <c r="AS104">
        <v>10.066409999999999</v>
      </c>
    </row>
    <row r="105" spans="1:45">
      <c r="A105" t="e">
        <f>NA()</f>
        <v>#N/A</v>
      </c>
      <c r="B105" t="e">
        <f>NA()</f>
        <v>#N/A</v>
      </c>
      <c r="C105" t="e">
        <f>NA()</f>
        <v>#N/A</v>
      </c>
      <c r="D105" t="e">
        <f>NA()</f>
        <v>#N/A</v>
      </c>
      <c r="E105" t="e">
        <f>NA()</f>
        <v>#N/A</v>
      </c>
      <c r="F105" t="e">
        <f>NA()</f>
        <v>#N/A</v>
      </c>
      <c r="G105" t="e">
        <f>NA()</f>
        <v>#N/A</v>
      </c>
      <c r="H105" t="e">
        <f>NA()</f>
        <v>#N/A</v>
      </c>
      <c r="I105" t="e">
        <f>NA()</f>
        <v>#N/A</v>
      </c>
      <c r="J105" t="e">
        <f>NA()</f>
        <v>#N/A</v>
      </c>
      <c r="K105" t="e">
        <f>NA()</f>
        <v>#N/A</v>
      </c>
      <c r="L105" t="e">
        <f>NA()</f>
        <v>#N/A</v>
      </c>
      <c r="M105" t="e">
        <f>NA()</f>
        <v>#N/A</v>
      </c>
      <c r="N105" t="e">
        <f>NA()</f>
        <v>#N/A</v>
      </c>
      <c r="O105" t="e">
        <f>NA()</f>
        <v>#N/A</v>
      </c>
      <c r="P105" t="e">
        <f>NA()</f>
        <v>#N/A</v>
      </c>
      <c r="Q105" t="e">
        <f>NA()</f>
        <v>#N/A</v>
      </c>
      <c r="R105" t="e">
        <f>NA()</f>
        <v>#N/A</v>
      </c>
      <c r="S105" t="e">
        <f>NA()</f>
        <v>#N/A</v>
      </c>
      <c r="T105" t="e">
        <f>NA()</f>
        <v>#N/A</v>
      </c>
      <c r="U105" t="e">
        <f>NA()</f>
        <v>#N/A</v>
      </c>
      <c r="V105" t="e">
        <f>NA()</f>
        <v>#N/A</v>
      </c>
      <c r="W105" t="e">
        <f>NA()</f>
        <v>#N/A</v>
      </c>
      <c r="X105" t="e">
        <f>NA()</f>
        <v>#N/A</v>
      </c>
      <c r="Y105">
        <v>1931</v>
      </c>
      <c r="Z105">
        <v>9.5125170000000008</v>
      </c>
      <c r="AA105">
        <v>9.4246719999999993</v>
      </c>
      <c r="AB105">
        <v>1971</v>
      </c>
      <c r="AC105">
        <v>4.317488</v>
      </c>
      <c r="AD105">
        <v>4.6532439999999999</v>
      </c>
      <c r="AE105">
        <v>1977</v>
      </c>
      <c r="AF105">
        <v>18.903110000000002</v>
      </c>
      <c r="AG105">
        <v>18.955079999999999</v>
      </c>
      <c r="AH105" t="e">
        <f>NA()</f>
        <v>#N/A</v>
      </c>
      <c r="AI105" t="e">
        <f>NA()</f>
        <v>#N/A</v>
      </c>
      <c r="AJ105" t="e">
        <f>NA()</f>
        <v>#N/A</v>
      </c>
      <c r="AK105" t="e">
        <f>NA()</f>
        <v>#N/A</v>
      </c>
      <c r="AL105" t="e">
        <f>NA()</f>
        <v>#N/A</v>
      </c>
      <c r="AM105" t="e">
        <f>NA()</f>
        <v>#N/A</v>
      </c>
      <c r="AN105">
        <v>1971</v>
      </c>
      <c r="AO105">
        <v>13.910819999999999</v>
      </c>
      <c r="AP105">
        <v>14.014239999999999</v>
      </c>
      <c r="AQ105">
        <v>1983</v>
      </c>
      <c r="AR105">
        <v>9.775995</v>
      </c>
      <c r="AS105">
        <v>10.043189999999999</v>
      </c>
    </row>
    <row r="106" spans="1:45">
      <c r="A106" t="e">
        <f>NA()</f>
        <v>#N/A</v>
      </c>
      <c r="B106" t="e">
        <f>NA()</f>
        <v>#N/A</v>
      </c>
      <c r="C106" t="e">
        <f>NA()</f>
        <v>#N/A</v>
      </c>
      <c r="D106" t="e">
        <f>NA()</f>
        <v>#N/A</v>
      </c>
      <c r="E106" t="e">
        <f>NA()</f>
        <v>#N/A</v>
      </c>
      <c r="F106" t="e">
        <f>NA()</f>
        <v>#N/A</v>
      </c>
      <c r="G106" t="e">
        <f>NA()</f>
        <v>#N/A</v>
      </c>
      <c r="H106" t="e">
        <f>NA()</f>
        <v>#N/A</v>
      </c>
      <c r="I106" t="e">
        <f>NA()</f>
        <v>#N/A</v>
      </c>
      <c r="J106" t="e">
        <f>NA()</f>
        <v>#N/A</v>
      </c>
      <c r="K106" t="e">
        <f>NA()</f>
        <v>#N/A</v>
      </c>
      <c r="L106" t="e">
        <f>NA()</f>
        <v>#N/A</v>
      </c>
      <c r="M106" t="e">
        <f>NA()</f>
        <v>#N/A</v>
      </c>
      <c r="N106" t="e">
        <f>NA()</f>
        <v>#N/A</v>
      </c>
      <c r="O106" t="e">
        <f>NA()</f>
        <v>#N/A</v>
      </c>
      <c r="P106" t="e">
        <f>NA()</f>
        <v>#N/A</v>
      </c>
      <c r="Q106" t="e">
        <f>NA()</f>
        <v>#N/A</v>
      </c>
      <c r="R106" t="e">
        <f>NA()</f>
        <v>#N/A</v>
      </c>
      <c r="S106" t="e">
        <f>NA()</f>
        <v>#N/A</v>
      </c>
      <c r="T106" t="e">
        <f>NA()</f>
        <v>#N/A</v>
      </c>
      <c r="U106" t="e">
        <f>NA()</f>
        <v>#N/A</v>
      </c>
      <c r="V106" t="e">
        <f>NA()</f>
        <v>#N/A</v>
      </c>
      <c r="W106" t="e">
        <f>NA()</f>
        <v>#N/A</v>
      </c>
      <c r="X106" t="e">
        <f>NA()</f>
        <v>#N/A</v>
      </c>
      <c r="Y106">
        <v>1932</v>
      </c>
      <c r="Z106">
        <v>9.5154700000000005</v>
      </c>
      <c r="AA106">
        <v>9.6624020000000002</v>
      </c>
      <c r="AB106">
        <v>1972</v>
      </c>
      <c r="AC106">
        <v>4.2341069999999998</v>
      </c>
      <c r="AD106">
        <v>4.6023810000000003</v>
      </c>
      <c r="AE106">
        <v>1978</v>
      </c>
      <c r="AF106">
        <v>18.945409999999999</v>
      </c>
      <c r="AG106">
        <v>18.957049999999999</v>
      </c>
      <c r="AH106" t="e">
        <f>NA()</f>
        <v>#N/A</v>
      </c>
      <c r="AI106" t="e">
        <f>NA()</f>
        <v>#N/A</v>
      </c>
      <c r="AJ106" t="e">
        <f>NA()</f>
        <v>#N/A</v>
      </c>
      <c r="AK106" t="e">
        <f>NA()</f>
        <v>#N/A</v>
      </c>
      <c r="AL106" t="e">
        <f>NA()</f>
        <v>#N/A</v>
      </c>
      <c r="AM106" t="e">
        <f>NA()</f>
        <v>#N/A</v>
      </c>
      <c r="AN106">
        <v>1972</v>
      </c>
      <c r="AO106">
        <v>13.910819999999999</v>
      </c>
      <c r="AP106">
        <v>14.023440000000001</v>
      </c>
      <c r="AQ106">
        <v>1984</v>
      </c>
      <c r="AR106">
        <v>9.7149870000000007</v>
      </c>
      <c r="AS106">
        <v>10.006130000000001</v>
      </c>
    </row>
    <row r="107" spans="1:45">
      <c r="A107" t="e">
        <f>NA()</f>
        <v>#N/A</v>
      </c>
      <c r="B107" t="e">
        <f>NA()</f>
        <v>#N/A</v>
      </c>
      <c r="C107" t="e">
        <f>NA()</f>
        <v>#N/A</v>
      </c>
      <c r="D107" t="e">
        <f>NA()</f>
        <v>#N/A</v>
      </c>
      <c r="E107" t="e">
        <f>NA()</f>
        <v>#N/A</v>
      </c>
      <c r="F107" t="e">
        <f>NA()</f>
        <v>#N/A</v>
      </c>
      <c r="G107" t="e">
        <f>NA()</f>
        <v>#N/A</v>
      </c>
      <c r="H107" t="e">
        <f>NA()</f>
        <v>#N/A</v>
      </c>
      <c r="I107" t="e">
        <f>NA()</f>
        <v>#N/A</v>
      </c>
      <c r="J107" t="e">
        <f>NA()</f>
        <v>#N/A</v>
      </c>
      <c r="K107" t="e">
        <f>NA()</f>
        <v>#N/A</v>
      </c>
      <c r="L107" t="e">
        <f>NA()</f>
        <v>#N/A</v>
      </c>
      <c r="M107" t="e">
        <f>NA()</f>
        <v>#N/A</v>
      </c>
      <c r="N107" t="e">
        <f>NA()</f>
        <v>#N/A</v>
      </c>
      <c r="O107" t="e">
        <f>NA()</f>
        <v>#N/A</v>
      </c>
      <c r="P107" t="e">
        <f>NA()</f>
        <v>#N/A</v>
      </c>
      <c r="Q107" t="e">
        <f>NA()</f>
        <v>#N/A</v>
      </c>
      <c r="R107" t="e">
        <f>NA()</f>
        <v>#N/A</v>
      </c>
      <c r="S107" t="e">
        <f>NA()</f>
        <v>#N/A</v>
      </c>
      <c r="T107" t="e">
        <f>NA()</f>
        <v>#N/A</v>
      </c>
      <c r="U107" t="e">
        <f>NA()</f>
        <v>#N/A</v>
      </c>
      <c r="V107" t="e">
        <f>NA()</f>
        <v>#N/A</v>
      </c>
      <c r="W107" t="e">
        <f>NA()</f>
        <v>#N/A</v>
      </c>
      <c r="X107" t="e">
        <f>NA()</f>
        <v>#N/A</v>
      </c>
      <c r="Y107">
        <v>1933</v>
      </c>
      <c r="Z107">
        <v>9.4620320000000007</v>
      </c>
      <c r="AA107">
        <v>9.7400540000000007</v>
      </c>
      <c r="AB107">
        <v>1973</v>
      </c>
      <c r="AC107">
        <v>4.2046929999999998</v>
      </c>
      <c r="AD107">
        <v>4.5413949999999996</v>
      </c>
      <c r="AE107">
        <v>1979</v>
      </c>
      <c r="AF107">
        <v>18.985990000000001</v>
      </c>
      <c r="AG107">
        <v>18.999960000000002</v>
      </c>
      <c r="AH107" t="e">
        <f>NA()</f>
        <v>#N/A</v>
      </c>
      <c r="AI107" t="e">
        <f>NA()</f>
        <v>#N/A</v>
      </c>
      <c r="AJ107" t="e">
        <f>NA()</f>
        <v>#N/A</v>
      </c>
      <c r="AK107" t="e">
        <f>NA()</f>
        <v>#N/A</v>
      </c>
      <c r="AL107" t="e">
        <f>NA()</f>
        <v>#N/A</v>
      </c>
      <c r="AM107" t="e">
        <f>NA()</f>
        <v>#N/A</v>
      </c>
      <c r="AN107">
        <v>1973</v>
      </c>
      <c r="AO107">
        <v>14.07788</v>
      </c>
      <c r="AP107">
        <v>14.029439999999999</v>
      </c>
      <c r="AQ107">
        <v>1985</v>
      </c>
      <c r="AR107">
        <v>9.778435</v>
      </c>
      <c r="AS107">
        <v>9.9839040000000008</v>
      </c>
    </row>
    <row r="108" spans="1:45">
      <c r="A108" t="e">
        <f>NA()</f>
        <v>#N/A</v>
      </c>
      <c r="B108" t="e">
        <f>NA()</f>
        <v>#N/A</v>
      </c>
      <c r="C108" t="e">
        <f>NA()</f>
        <v>#N/A</v>
      </c>
      <c r="D108" t="e">
        <f>NA()</f>
        <v>#N/A</v>
      </c>
      <c r="E108" t="e">
        <f>NA()</f>
        <v>#N/A</v>
      </c>
      <c r="F108" t="e">
        <f>NA()</f>
        <v>#N/A</v>
      </c>
      <c r="G108" t="e">
        <f>NA()</f>
        <v>#N/A</v>
      </c>
      <c r="H108" t="e">
        <f>NA()</f>
        <v>#N/A</v>
      </c>
      <c r="I108" t="e">
        <f>NA()</f>
        <v>#N/A</v>
      </c>
      <c r="J108" t="e">
        <f>NA()</f>
        <v>#N/A</v>
      </c>
      <c r="K108" t="e">
        <f>NA()</f>
        <v>#N/A</v>
      </c>
      <c r="L108" t="e">
        <f>NA()</f>
        <v>#N/A</v>
      </c>
      <c r="M108" t="e">
        <f>NA()</f>
        <v>#N/A</v>
      </c>
      <c r="N108" t="e">
        <f>NA()</f>
        <v>#N/A</v>
      </c>
      <c r="O108" t="e">
        <f>NA()</f>
        <v>#N/A</v>
      </c>
      <c r="P108" t="e">
        <f>NA()</f>
        <v>#N/A</v>
      </c>
      <c r="Q108" t="e">
        <f>NA()</f>
        <v>#N/A</v>
      </c>
      <c r="R108" t="e">
        <f>NA()</f>
        <v>#N/A</v>
      </c>
      <c r="S108" t="e">
        <f>NA()</f>
        <v>#N/A</v>
      </c>
      <c r="T108" t="e">
        <f>NA()</f>
        <v>#N/A</v>
      </c>
      <c r="U108" t="e">
        <f>NA()</f>
        <v>#N/A</v>
      </c>
      <c r="V108" t="e">
        <f>NA()</f>
        <v>#N/A</v>
      </c>
      <c r="W108" t="e">
        <f>NA()</f>
        <v>#N/A</v>
      </c>
      <c r="X108" t="e">
        <f>NA()</f>
        <v>#N/A</v>
      </c>
      <c r="Y108">
        <v>1934</v>
      </c>
      <c r="Z108">
        <v>9.4483329999999999</v>
      </c>
      <c r="AA108">
        <v>9.6923189999999995</v>
      </c>
      <c r="AB108">
        <v>1974</v>
      </c>
      <c r="AC108">
        <v>4.2626799999999996</v>
      </c>
      <c r="AD108">
        <v>4.5871069999999996</v>
      </c>
      <c r="AE108">
        <v>1980</v>
      </c>
      <c r="AF108">
        <v>19.008469999999999</v>
      </c>
      <c r="AG108">
        <v>19.104569999999999</v>
      </c>
      <c r="AH108" t="e">
        <f>NA()</f>
        <v>#N/A</v>
      </c>
      <c r="AI108" t="e">
        <f>NA()</f>
        <v>#N/A</v>
      </c>
      <c r="AJ108" t="e">
        <f>NA()</f>
        <v>#N/A</v>
      </c>
      <c r="AK108" t="e">
        <f>NA()</f>
        <v>#N/A</v>
      </c>
      <c r="AL108" t="e">
        <f>NA()</f>
        <v>#N/A</v>
      </c>
      <c r="AM108" t="e">
        <f>NA()</f>
        <v>#N/A</v>
      </c>
      <c r="AN108">
        <v>1974</v>
      </c>
      <c r="AO108">
        <v>13.99783</v>
      </c>
      <c r="AP108">
        <v>14.05893</v>
      </c>
      <c r="AQ108" t="e">
        <f>NA()</f>
        <v>#N/A</v>
      </c>
      <c r="AR108" t="e">
        <f>NA()</f>
        <v>#N/A</v>
      </c>
      <c r="AS108" t="e">
        <f>NA()</f>
        <v>#N/A</v>
      </c>
    </row>
    <row r="109" spans="1:45">
      <c r="A109" t="e">
        <f>NA()</f>
        <v>#N/A</v>
      </c>
      <c r="B109" t="e">
        <f>NA()</f>
        <v>#N/A</v>
      </c>
      <c r="C109" t="e">
        <f>NA()</f>
        <v>#N/A</v>
      </c>
      <c r="D109" t="e">
        <f>NA()</f>
        <v>#N/A</v>
      </c>
      <c r="E109" t="e">
        <f>NA()</f>
        <v>#N/A</v>
      </c>
      <c r="F109" t="e">
        <f>NA()</f>
        <v>#N/A</v>
      </c>
      <c r="G109" t="e">
        <f>NA()</f>
        <v>#N/A</v>
      </c>
      <c r="H109" t="e">
        <f>NA()</f>
        <v>#N/A</v>
      </c>
      <c r="I109" t="e">
        <f>NA()</f>
        <v>#N/A</v>
      </c>
      <c r="J109" t="e">
        <f>NA()</f>
        <v>#N/A</v>
      </c>
      <c r="K109" t="e">
        <f>NA()</f>
        <v>#N/A</v>
      </c>
      <c r="L109" t="e">
        <f>NA()</f>
        <v>#N/A</v>
      </c>
      <c r="M109" t="e">
        <f>NA()</f>
        <v>#N/A</v>
      </c>
      <c r="N109" t="e">
        <f>NA()</f>
        <v>#N/A</v>
      </c>
      <c r="O109" t="e">
        <f>NA()</f>
        <v>#N/A</v>
      </c>
      <c r="P109" t="e">
        <f>NA()</f>
        <v>#N/A</v>
      </c>
      <c r="Q109" t="e">
        <f>NA()</f>
        <v>#N/A</v>
      </c>
      <c r="R109" t="e">
        <f>NA()</f>
        <v>#N/A</v>
      </c>
      <c r="S109" t="e">
        <f>NA()</f>
        <v>#N/A</v>
      </c>
      <c r="T109" t="e">
        <f>NA()</f>
        <v>#N/A</v>
      </c>
      <c r="U109" t="e">
        <f>NA()</f>
        <v>#N/A</v>
      </c>
      <c r="V109" t="e">
        <f>NA()</f>
        <v>#N/A</v>
      </c>
      <c r="W109" t="e">
        <f>NA()</f>
        <v>#N/A</v>
      </c>
      <c r="X109" t="e">
        <f>NA()</f>
        <v>#N/A</v>
      </c>
      <c r="Y109">
        <v>1935</v>
      </c>
      <c r="Z109">
        <v>9.43628</v>
      </c>
      <c r="AA109">
        <v>9.6468550000000004</v>
      </c>
      <c r="AB109">
        <v>1975</v>
      </c>
      <c r="AC109">
        <v>4.2195080000000003</v>
      </c>
      <c r="AD109">
        <v>4.6347969999999998</v>
      </c>
      <c r="AE109">
        <v>1981</v>
      </c>
      <c r="AF109">
        <v>19.01952</v>
      </c>
      <c r="AG109">
        <v>19.159659999999999</v>
      </c>
      <c r="AH109" t="e">
        <f>NA()</f>
        <v>#N/A</v>
      </c>
      <c r="AI109" t="e">
        <f>NA()</f>
        <v>#N/A</v>
      </c>
      <c r="AJ109" t="e">
        <f>NA()</f>
        <v>#N/A</v>
      </c>
      <c r="AK109" t="e">
        <f>NA()</f>
        <v>#N/A</v>
      </c>
      <c r="AL109" t="e">
        <f>NA()</f>
        <v>#N/A</v>
      </c>
      <c r="AM109" t="e">
        <f>NA()</f>
        <v>#N/A</v>
      </c>
      <c r="AN109">
        <v>1975</v>
      </c>
      <c r="AO109">
        <v>13.910819999999999</v>
      </c>
      <c r="AP109">
        <v>14.089399999999999</v>
      </c>
      <c r="AQ109" t="e">
        <f>NA()</f>
        <v>#N/A</v>
      </c>
      <c r="AR109" t="e">
        <f>NA()</f>
        <v>#N/A</v>
      </c>
      <c r="AS109" t="e">
        <f>NA()</f>
        <v>#N/A</v>
      </c>
    </row>
    <row r="110" spans="1:45">
      <c r="A110" t="e">
        <f>NA()</f>
        <v>#N/A</v>
      </c>
      <c r="B110" t="e">
        <f>NA()</f>
        <v>#N/A</v>
      </c>
      <c r="C110" t="e">
        <f>NA()</f>
        <v>#N/A</v>
      </c>
      <c r="D110" t="e">
        <f>NA()</f>
        <v>#N/A</v>
      </c>
      <c r="E110" t="e">
        <f>NA()</f>
        <v>#N/A</v>
      </c>
      <c r="F110" t="e">
        <f>NA()</f>
        <v>#N/A</v>
      </c>
      <c r="G110" t="e">
        <f>NA()</f>
        <v>#N/A</v>
      </c>
      <c r="H110" t="e">
        <f>NA()</f>
        <v>#N/A</v>
      </c>
      <c r="I110" t="e">
        <f>NA()</f>
        <v>#N/A</v>
      </c>
      <c r="J110" t="e">
        <f>NA()</f>
        <v>#N/A</v>
      </c>
      <c r="K110" t="e">
        <f>NA()</f>
        <v>#N/A</v>
      </c>
      <c r="L110" t="e">
        <f>NA()</f>
        <v>#N/A</v>
      </c>
      <c r="M110" t="e">
        <f>NA()</f>
        <v>#N/A</v>
      </c>
      <c r="N110" t="e">
        <f>NA()</f>
        <v>#N/A</v>
      </c>
      <c r="O110" t="e">
        <f>NA()</f>
        <v>#N/A</v>
      </c>
      <c r="P110" t="e">
        <f>NA()</f>
        <v>#N/A</v>
      </c>
      <c r="Q110" t="e">
        <f>NA()</f>
        <v>#N/A</v>
      </c>
      <c r="R110" t="e">
        <f>NA()</f>
        <v>#N/A</v>
      </c>
      <c r="S110" t="e">
        <f>NA()</f>
        <v>#N/A</v>
      </c>
      <c r="T110" t="e">
        <f>NA()</f>
        <v>#N/A</v>
      </c>
      <c r="U110" t="e">
        <f>NA()</f>
        <v>#N/A</v>
      </c>
      <c r="V110" t="e">
        <f>NA()</f>
        <v>#N/A</v>
      </c>
      <c r="W110" t="e">
        <f>NA()</f>
        <v>#N/A</v>
      </c>
      <c r="X110" t="e">
        <f>NA()</f>
        <v>#N/A</v>
      </c>
      <c r="Y110">
        <v>1936</v>
      </c>
      <c r="Z110">
        <v>9.4146680000000007</v>
      </c>
      <c r="AA110">
        <v>9.5220590000000005</v>
      </c>
      <c r="AB110">
        <v>1976</v>
      </c>
      <c r="AC110">
        <v>4.2046929999999998</v>
      </c>
      <c r="AD110">
        <v>4.5810959999999996</v>
      </c>
      <c r="AE110">
        <v>1982</v>
      </c>
      <c r="AF110">
        <v>18.985990000000001</v>
      </c>
      <c r="AG110">
        <v>19.292929999999998</v>
      </c>
      <c r="AH110" t="e">
        <f>NA()</f>
        <v>#N/A</v>
      </c>
      <c r="AI110" t="e">
        <f>NA()</f>
        <v>#N/A</v>
      </c>
      <c r="AJ110" t="e">
        <f>NA()</f>
        <v>#N/A</v>
      </c>
      <c r="AK110" t="e">
        <f>NA()</f>
        <v>#N/A</v>
      </c>
      <c r="AL110" t="e">
        <f>NA()</f>
        <v>#N/A</v>
      </c>
      <c r="AM110" t="e">
        <f>NA()</f>
        <v>#N/A</v>
      </c>
      <c r="AN110">
        <v>1976</v>
      </c>
      <c r="AO110">
        <v>13.910819999999999</v>
      </c>
      <c r="AP110">
        <v>14.0969</v>
      </c>
      <c r="AQ110" t="e">
        <f>NA()</f>
        <v>#N/A</v>
      </c>
      <c r="AR110" t="e">
        <f>NA()</f>
        <v>#N/A</v>
      </c>
      <c r="AS110" t="e">
        <f>NA()</f>
        <v>#N/A</v>
      </c>
    </row>
    <row r="111" spans="1:45">
      <c r="A111" t="e">
        <f>NA()</f>
        <v>#N/A</v>
      </c>
      <c r="B111" t="e">
        <f>NA()</f>
        <v>#N/A</v>
      </c>
      <c r="C111" t="e">
        <f>NA()</f>
        <v>#N/A</v>
      </c>
      <c r="D111" t="e">
        <f>NA()</f>
        <v>#N/A</v>
      </c>
      <c r="E111" t="e">
        <f>NA()</f>
        <v>#N/A</v>
      </c>
      <c r="F111" t="e">
        <f>NA()</f>
        <v>#N/A</v>
      </c>
      <c r="G111" t="e">
        <f>NA()</f>
        <v>#N/A</v>
      </c>
      <c r="H111" t="e">
        <f>NA()</f>
        <v>#N/A</v>
      </c>
      <c r="I111" t="e">
        <f>NA()</f>
        <v>#N/A</v>
      </c>
      <c r="J111" t="e">
        <f>NA()</f>
        <v>#N/A</v>
      </c>
      <c r="K111" t="e">
        <f>NA()</f>
        <v>#N/A</v>
      </c>
      <c r="L111" t="e">
        <f>NA()</f>
        <v>#N/A</v>
      </c>
      <c r="M111" t="e">
        <f>NA()</f>
        <v>#N/A</v>
      </c>
      <c r="N111" t="e">
        <f>NA()</f>
        <v>#N/A</v>
      </c>
      <c r="O111" t="e">
        <f>NA()</f>
        <v>#N/A</v>
      </c>
      <c r="P111" t="e">
        <f>NA()</f>
        <v>#N/A</v>
      </c>
      <c r="Q111" t="e">
        <f>NA()</f>
        <v>#N/A</v>
      </c>
      <c r="R111" t="e">
        <f>NA()</f>
        <v>#N/A</v>
      </c>
      <c r="S111" t="e">
        <f>NA()</f>
        <v>#N/A</v>
      </c>
      <c r="T111" t="e">
        <f>NA()</f>
        <v>#N/A</v>
      </c>
      <c r="U111" t="e">
        <f>NA()</f>
        <v>#N/A</v>
      </c>
      <c r="V111" t="e">
        <f>NA()</f>
        <v>#N/A</v>
      </c>
      <c r="W111" t="e">
        <f>NA()</f>
        <v>#N/A</v>
      </c>
      <c r="X111" t="e">
        <f>NA()</f>
        <v>#N/A</v>
      </c>
      <c r="Y111">
        <v>1937</v>
      </c>
      <c r="Z111">
        <v>9.4067290000000003</v>
      </c>
      <c r="AA111">
        <v>9.5164819999999999</v>
      </c>
      <c r="AB111">
        <v>1977</v>
      </c>
      <c r="AC111">
        <v>4.2195080000000003</v>
      </c>
      <c r="AD111">
        <v>4.541499</v>
      </c>
      <c r="AE111" t="e">
        <f>NA()</f>
        <v>#N/A</v>
      </c>
      <c r="AF111" t="e">
        <f>NA()</f>
        <v>#N/A</v>
      </c>
      <c r="AG111" t="e">
        <f>NA()</f>
        <v>#N/A</v>
      </c>
      <c r="AH111" t="e">
        <f>NA()</f>
        <v>#N/A</v>
      </c>
      <c r="AI111" t="e">
        <f>NA()</f>
        <v>#N/A</v>
      </c>
      <c r="AJ111" t="e">
        <f>NA()</f>
        <v>#N/A</v>
      </c>
      <c r="AK111" t="e">
        <f>NA()</f>
        <v>#N/A</v>
      </c>
      <c r="AL111" t="e">
        <f>NA()</f>
        <v>#N/A</v>
      </c>
      <c r="AM111" t="e">
        <f>NA()</f>
        <v>#N/A</v>
      </c>
      <c r="AN111">
        <v>1977</v>
      </c>
      <c r="AO111">
        <v>13.99783</v>
      </c>
      <c r="AP111">
        <v>14.10796</v>
      </c>
      <c r="AQ111" t="e">
        <f>NA()</f>
        <v>#N/A</v>
      </c>
      <c r="AR111" t="e">
        <f>NA()</f>
        <v>#N/A</v>
      </c>
      <c r="AS111" t="e">
        <f>NA()</f>
        <v>#N/A</v>
      </c>
    </row>
    <row r="112" spans="1:45">
      <c r="A112" t="e">
        <f>NA()</f>
        <v>#N/A</v>
      </c>
      <c r="B112" t="e">
        <f>NA()</f>
        <v>#N/A</v>
      </c>
      <c r="C112" t="e">
        <f>NA()</f>
        <v>#N/A</v>
      </c>
      <c r="D112" t="e">
        <f>NA()</f>
        <v>#N/A</v>
      </c>
      <c r="E112" t="e">
        <f>NA()</f>
        <v>#N/A</v>
      </c>
      <c r="F112" t="e">
        <f>NA()</f>
        <v>#N/A</v>
      </c>
      <c r="G112" t="e">
        <f>NA()</f>
        <v>#N/A</v>
      </c>
      <c r="H112" t="e">
        <f>NA()</f>
        <v>#N/A</v>
      </c>
      <c r="I112" t="e">
        <f>NA()</f>
        <v>#N/A</v>
      </c>
      <c r="J112" t="e">
        <f>NA()</f>
        <v>#N/A</v>
      </c>
      <c r="K112" t="e">
        <f>NA()</f>
        <v>#N/A</v>
      </c>
      <c r="L112" t="e">
        <f>NA()</f>
        <v>#N/A</v>
      </c>
      <c r="M112" t="e">
        <f>NA()</f>
        <v>#N/A</v>
      </c>
      <c r="N112" t="e">
        <f>NA()</f>
        <v>#N/A</v>
      </c>
      <c r="O112" t="e">
        <f>NA()</f>
        <v>#N/A</v>
      </c>
      <c r="P112" t="e">
        <f>NA()</f>
        <v>#N/A</v>
      </c>
      <c r="Q112" t="e">
        <f>NA()</f>
        <v>#N/A</v>
      </c>
      <c r="R112" t="e">
        <f>NA()</f>
        <v>#N/A</v>
      </c>
      <c r="S112" t="e">
        <f>NA()</f>
        <v>#N/A</v>
      </c>
      <c r="T112" t="e">
        <f>NA()</f>
        <v>#N/A</v>
      </c>
      <c r="U112" t="e">
        <f>NA()</f>
        <v>#N/A</v>
      </c>
      <c r="V112" t="e">
        <f>NA()</f>
        <v>#N/A</v>
      </c>
      <c r="W112" t="e">
        <f>NA()</f>
        <v>#N/A</v>
      </c>
      <c r="X112" t="e">
        <f>NA()</f>
        <v>#N/A</v>
      </c>
      <c r="Y112">
        <v>1938</v>
      </c>
      <c r="Z112">
        <v>9.3932450000000003</v>
      </c>
      <c r="AA112">
        <v>9.6236610000000002</v>
      </c>
      <c r="AB112">
        <v>1978</v>
      </c>
      <c r="AC112">
        <v>4.2766659999999996</v>
      </c>
      <c r="AD112">
        <v>4.4825499999999998</v>
      </c>
      <c r="AE112" t="e">
        <f>NA()</f>
        <v>#N/A</v>
      </c>
      <c r="AF112" t="e">
        <f>NA()</f>
        <v>#N/A</v>
      </c>
      <c r="AG112" t="e">
        <f>NA()</f>
        <v>#N/A</v>
      </c>
      <c r="AH112" t="e">
        <f>NA()</f>
        <v>#N/A</v>
      </c>
      <c r="AI112" t="e">
        <f>NA()</f>
        <v>#N/A</v>
      </c>
      <c r="AJ112" t="e">
        <f>NA()</f>
        <v>#N/A</v>
      </c>
      <c r="AK112" t="e">
        <f>NA()</f>
        <v>#N/A</v>
      </c>
      <c r="AL112" t="e">
        <f>NA()</f>
        <v>#N/A</v>
      </c>
      <c r="AM112" t="e">
        <f>NA()</f>
        <v>#N/A</v>
      </c>
      <c r="AN112">
        <v>1978</v>
      </c>
      <c r="AO112">
        <v>14.07788</v>
      </c>
      <c r="AP112">
        <v>14.115080000000001</v>
      </c>
      <c r="AQ112" t="e">
        <f>NA()</f>
        <v>#N/A</v>
      </c>
      <c r="AR112" t="e">
        <f>NA()</f>
        <v>#N/A</v>
      </c>
      <c r="AS112" t="e">
        <f>NA()</f>
        <v>#N/A</v>
      </c>
    </row>
    <row r="113" spans="1:45">
      <c r="A113" t="e">
        <f>NA()</f>
        <v>#N/A</v>
      </c>
      <c r="B113" t="e">
        <f>NA()</f>
        <v>#N/A</v>
      </c>
      <c r="C113" t="e">
        <f>NA()</f>
        <v>#N/A</v>
      </c>
      <c r="D113" t="e">
        <f>NA()</f>
        <v>#N/A</v>
      </c>
      <c r="E113" t="e">
        <f>NA()</f>
        <v>#N/A</v>
      </c>
      <c r="F113" t="e">
        <f>NA()</f>
        <v>#N/A</v>
      </c>
      <c r="G113" t="e">
        <f>NA()</f>
        <v>#N/A</v>
      </c>
      <c r="H113" t="e">
        <f>NA()</f>
        <v>#N/A</v>
      </c>
      <c r="I113" t="e">
        <f>NA()</f>
        <v>#N/A</v>
      </c>
      <c r="J113" t="e">
        <f>NA()</f>
        <v>#N/A</v>
      </c>
      <c r="K113" t="e">
        <f>NA()</f>
        <v>#N/A</v>
      </c>
      <c r="L113" t="e">
        <f>NA()</f>
        <v>#N/A</v>
      </c>
      <c r="M113" t="e">
        <f>NA()</f>
        <v>#N/A</v>
      </c>
      <c r="N113" t="e">
        <f>NA()</f>
        <v>#N/A</v>
      </c>
      <c r="O113" t="e">
        <f>NA()</f>
        <v>#N/A</v>
      </c>
      <c r="P113" t="e">
        <f>NA()</f>
        <v>#N/A</v>
      </c>
      <c r="Q113" t="e">
        <f>NA()</f>
        <v>#N/A</v>
      </c>
      <c r="R113" t="e">
        <f>NA()</f>
        <v>#N/A</v>
      </c>
      <c r="S113" t="e">
        <f>NA()</f>
        <v>#N/A</v>
      </c>
      <c r="T113" t="e">
        <f>NA()</f>
        <v>#N/A</v>
      </c>
      <c r="U113" t="e">
        <f>NA()</f>
        <v>#N/A</v>
      </c>
      <c r="V113" t="e">
        <f>NA()</f>
        <v>#N/A</v>
      </c>
      <c r="W113" t="e">
        <f>NA()</f>
        <v>#N/A</v>
      </c>
      <c r="X113" t="e">
        <f>NA()</f>
        <v>#N/A</v>
      </c>
      <c r="Y113">
        <v>1939</v>
      </c>
      <c r="Z113">
        <v>9.3886540000000007</v>
      </c>
      <c r="AA113">
        <v>9.5768810000000002</v>
      </c>
      <c r="AB113">
        <v>1979</v>
      </c>
      <c r="AC113">
        <v>4.3307330000000004</v>
      </c>
      <c r="AD113">
        <v>4.4657460000000002</v>
      </c>
      <c r="AE113" t="e">
        <f>NA()</f>
        <v>#N/A</v>
      </c>
      <c r="AF113" t="e">
        <f>NA()</f>
        <v>#N/A</v>
      </c>
      <c r="AG113" t="e">
        <f>NA()</f>
        <v>#N/A</v>
      </c>
      <c r="AH113" t="e">
        <f>NA()</f>
        <v>#N/A</v>
      </c>
      <c r="AI113" t="e">
        <f>NA()</f>
        <v>#N/A</v>
      </c>
      <c r="AJ113" t="e">
        <f>NA()</f>
        <v>#N/A</v>
      </c>
      <c r="AK113" t="e">
        <f>NA()</f>
        <v>#N/A</v>
      </c>
      <c r="AL113" t="e">
        <f>NA()</f>
        <v>#N/A</v>
      </c>
      <c r="AM113" t="e">
        <f>NA()</f>
        <v>#N/A</v>
      </c>
      <c r="AN113">
        <v>1979</v>
      </c>
      <c r="AO113">
        <v>14.07788</v>
      </c>
      <c r="AP113">
        <v>14.131930000000001</v>
      </c>
      <c r="AQ113" t="e">
        <f>NA()</f>
        <v>#N/A</v>
      </c>
      <c r="AR113" t="e">
        <f>NA()</f>
        <v>#N/A</v>
      </c>
      <c r="AS113" t="e">
        <f>NA()</f>
        <v>#N/A</v>
      </c>
    </row>
    <row r="114" spans="1:45">
      <c r="A114" t="e">
        <f>NA()</f>
        <v>#N/A</v>
      </c>
      <c r="B114" t="e">
        <f>NA()</f>
        <v>#N/A</v>
      </c>
      <c r="C114" t="e">
        <f>NA()</f>
        <v>#N/A</v>
      </c>
      <c r="D114" t="e">
        <f>NA()</f>
        <v>#N/A</v>
      </c>
      <c r="E114" t="e">
        <f>NA()</f>
        <v>#N/A</v>
      </c>
      <c r="F114" t="e">
        <f>NA()</f>
        <v>#N/A</v>
      </c>
      <c r="G114" t="e">
        <f>NA()</f>
        <v>#N/A</v>
      </c>
      <c r="H114" t="e">
        <f>NA()</f>
        <v>#N/A</v>
      </c>
      <c r="I114" t="e">
        <f>NA()</f>
        <v>#N/A</v>
      </c>
      <c r="J114" t="e">
        <f>NA()</f>
        <v>#N/A</v>
      </c>
      <c r="K114" t="e">
        <f>NA()</f>
        <v>#N/A</v>
      </c>
      <c r="L114" t="e">
        <f>NA()</f>
        <v>#N/A</v>
      </c>
      <c r="M114" t="e">
        <f>NA()</f>
        <v>#N/A</v>
      </c>
      <c r="N114" t="e">
        <f>NA()</f>
        <v>#N/A</v>
      </c>
      <c r="O114" t="e">
        <f>NA()</f>
        <v>#N/A</v>
      </c>
      <c r="P114" t="e">
        <f>NA()</f>
        <v>#N/A</v>
      </c>
      <c r="Q114" t="e">
        <f>NA()</f>
        <v>#N/A</v>
      </c>
      <c r="R114" t="e">
        <f>NA()</f>
        <v>#N/A</v>
      </c>
      <c r="S114" t="e">
        <f>NA()</f>
        <v>#N/A</v>
      </c>
      <c r="T114" t="e">
        <f>NA()</f>
        <v>#N/A</v>
      </c>
      <c r="U114" t="e">
        <f>NA()</f>
        <v>#N/A</v>
      </c>
      <c r="V114" t="e">
        <f>NA()</f>
        <v>#N/A</v>
      </c>
      <c r="W114" t="e">
        <f>NA()</f>
        <v>#N/A</v>
      </c>
      <c r="X114" t="e">
        <f>NA()</f>
        <v>#N/A</v>
      </c>
      <c r="Y114">
        <v>1940</v>
      </c>
      <c r="Z114">
        <v>9.337237</v>
      </c>
      <c r="AA114">
        <v>9.533277</v>
      </c>
      <c r="AB114">
        <v>1980</v>
      </c>
      <c r="AC114">
        <v>4.317488</v>
      </c>
      <c r="AD114">
        <v>4.51241</v>
      </c>
      <c r="AE114" t="e">
        <f>NA()</f>
        <v>#N/A</v>
      </c>
      <c r="AF114" t="e">
        <f>NA()</f>
        <v>#N/A</v>
      </c>
      <c r="AG114" t="e">
        <f>NA()</f>
        <v>#N/A</v>
      </c>
      <c r="AH114" t="e">
        <f>NA()</f>
        <v>#N/A</v>
      </c>
      <c r="AI114" t="e">
        <f>NA()</f>
        <v>#N/A</v>
      </c>
      <c r="AJ114" t="e">
        <f>NA()</f>
        <v>#N/A</v>
      </c>
      <c r="AK114" t="e">
        <f>NA()</f>
        <v>#N/A</v>
      </c>
      <c r="AL114" t="e">
        <f>NA()</f>
        <v>#N/A</v>
      </c>
      <c r="AM114" t="e">
        <f>NA()</f>
        <v>#N/A</v>
      </c>
      <c r="AN114">
        <v>1980</v>
      </c>
      <c r="AO114">
        <v>14.07788</v>
      </c>
      <c r="AP114">
        <v>14.16353</v>
      </c>
      <c r="AQ114" t="e">
        <f>NA()</f>
        <v>#N/A</v>
      </c>
      <c r="AR114" t="e">
        <f>NA()</f>
        <v>#N/A</v>
      </c>
      <c r="AS114" t="e">
        <f>NA()</f>
        <v>#N/A</v>
      </c>
    </row>
    <row r="115" spans="1:45">
      <c r="A115" t="e">
        <f>NA()</f>
        <v>#N/A</v>
      </c>
      <c r="B115" t="e">
        <f>NA()</f>
        <v>#N/A</v>
      </c>
      <c r="C115" t="e">
        <f>NA()</f>
        <v>#N/A</v>
      </c>
      <c r="D115" t="e">
        <f>NA()</f>
        <v>#N/A</v>
      </c>
      <c r="E115" t="e">
        <f>NA()</f>
        <v>#N/A</v>
      </c>
      <c r="F115" t="e">
        <f>NA()</f>
        <v>#N/A</v>
      </c>
      <c r="G115" t="e">
        <f>NA()</f>
        <v>#N/A</v>
      </c>
      <c r="H115" t="e">
        <f>NA()</f>
        <v>#N/A</v>
      </c>
      <c r="I115" t="e">
        <f>NA()</f>
        <v>#N/A</v>
      </c>
      <c r="J115" t="e">
        <f>NA()</f>
        <v>#N/A</v>
      </c>
      <c r="K115" t="e">
        <f>NA()</f>
        <v>#N/A</v>
      </c>
      <c r="L115" t="e">
        <f>NA()</f>
        <v>#N/A</v>
      </c>
      <c r="M115" t="e">
        <f>NA()</f>
        <v>#N/A</v>
      </c>
      <c r="N115" t="e">
        <f>NA()</f>
        <v>#N/A</v>
      </c>
      <c r="O115" t="e">
        <f>NA()</f>
        <v>#N/A</v>
      </c>
      <c r="P115" t="e">
        <f>NA()</f>
        <v>#N/A</v>
      </c>
      <c r="Q115" t="e">
        <f>NA()</f>
        <v>#N/A</v>
      </c>
      <c r="R115" t="e">
        <f>NA()</f>
        <v>#N/A</v>
      </c>
      <c r="S115" t="e">
        <f>NA()</f>
        <v>#N/A</v>
      </c>
      <c r="T115" t="e">
        <f>NA()</f>
        <v>#N/A</v>
      </c>
      <c r="U115" t="e">
        <f>NA()</f>
        <v>#N/A</v>
      </c>
      <c r="V115" t="e">
        <f>NA()</f>
        <v>#N/A</v>
      </c>
      <c r="W115" t="e">
        <f>NA()</f>
        <v>#N/A</v>
      </c>
      <c r="X115" t="e">
        <f>NA()</f>
        <v>#N/A</v>
      </c>
      <c r="Y115">
        <v>1941</v>
      </c>
      <c r="Z115">
        <v>9.3099150000000002</v>
      </c>
      <c r="AA115">
        <v>9.3703749999999992</v>
      </c>
      <c r="AB115">
        <v>1981</v>
      </c>
      <c r="AC115">
        <v>4.3040649999999996</v>
      </c>
      <c r="AD115">
        <v>4.5082089999999999</v>
      </c>
      <c r="AE115" t="e">
        <f>NA()</f>
        <v>#N/A</v>
      </c>
      <c r="AF115" t="e">
        <f>NA()</f>
        <v>#N/A</v>
      </c>
      <c r="AG115" t="e">
        <f>NA()</f>
        <v>#N/A</v>
      </c>
      <c r="AH115" t="e">
        <f>NA()</f>
        <v>#N/A</v>
      </c>
      <c r="AI115" t="e">
        <f>NA()</f>
        <v>#N/A</v>
      </c>
      <c r="AJ115" t="e">
        <f>NA()</f>
        <v>#N/A</v>
      </c>
      <c r="AK115" t="e">
        <f>NA()</f>
        <v>#N/A</v>
      </c>
      <c r="AL115" t="e">
        <f>NA()</f>
        <v>#N/A</v>
      </c>
      <c r="AM115" t="e">
        <f>NA()</f>
        <v>#N/A</v>
      </c>
      <c r="AN115">
        <v>1981</v>
      </c>
      <c r="AO115">
        <v>14.15198</v>
      </c>
      <c r="AP115">
        <v>14.182169999999999</v>
      </c>
      <c r="AQ115" t="e">
        <f>NA()</f>
        <v>#N/A</v>
      </c>
      <c r="AR115" t="e">
        <f>NA()</f>
        <v>#N/A</v>
      </c>
      <c r="AS115" t="e">
        <f>NA()</f>
        <v>#N/A</v>
      </c>
    </row>
    <row r="116" spans="1:45">
      <c r="A116" t="e">
        <f>NA()</f>
        <v>#N/A</v>
      </c>
      <c r="B116" t="e">
        <f>NA()</f>
        <v>#N/A</v>
      </c>
      <c r="C116" t="e">
        <f>NA()</f>
        <v>#N/A</v>
      </c>
      <c r="D116" t="e">
        <f>NA()</f>
        <v>#N/A</v>
      </c>
      <c r="E116" t="e">
        <f>NA()</f>
        <v>#N/A</v>
      </c>
      <c r="F116" t="e">
        <f>NA()</f>
        <v>#N/A</v>
      </c>
      <c r="G116" t="e">
        <f>NA()</f>
        <v>#N/A</v>
      </c>
      <c r="H116" t="e">
        <f>NA()</f>
        <v>#N/A</v>
      </c>
      <c r="I116" t="e">
        <f>NA()</f>
        <v>#N/A</v>
      </c>
      <c r="J116" t="e">
        <f>NA()</f>
        <v>#N/A</v>
      </c>
      <c r="K116" t="e">
        <f>NA()</f>
        <v>#N/A</v>
      </c>
      <c r="L116" t="e">
        <f>NA()</f>
        <v>#N/A</v>
      </c>
      <c r="M116" t="e">
        <f>NA()</f>
        <v>#N/A</v>
      </c>
      <c r="N116" t="e">
        <f>NA()</f>
        <v>#N/A</v>
      </c>
      <c r="O116" t="e">
        <f>NA()</f>
        <v>#N/A</v>
      </c>
      <c r="P116" t="e">
        <f>NA()</f>
        <v>#N/A</v>
      </c>
      <c r="Q116" t="e">
        <f>NA()</f>
        <v>#N/A</v>
      </c>
      <c r="R116" t="e">
        <f>NA()</f>
        <v>#N/A</v>
      </c>
      <c r="S116" t="e">
        <f>NA()</f>
        <v>#N/A</v>
      </c>
      <c r="T116" t="e">
        <f>NA()</f>
        <v>#N/A</v>
      </c>
      <c r="U116" t="e">
        <f>NA()</f>
        <v>#N/A</v>
      </c>
      <c r="V116" t="e">
        <f>NA()</f>
        <v>#N/A</v>
      </c>
      <c r="W116" t="e">
        <f>NA()</f>
        <v>#N/A</v>
      </c>
      <c r="X116" t="e">
        <f>NA()</f>
        <v>#N/A</v>
      </c>
      <c r="Y116">
        <v>1942</v>
      </c>
      <c r="Z116">
        <v>9.3121749999999999</v>
      </c>
      <c r="AA116">
        <v>9.1901810000000008</v>
      </c>
      <c r="AB116">
        <v>1982</v>
      </c>
      <c r="AC116">
        <v>4.1743870000000003</v>
      </c>
      <c r="AD116">
        <v>4.5844690000000003</v>
      </c>
      <c r="AE116" t="e">
        <f>NA()</f>
        <v>#N/A</v>
      </c>
      <c r="AF116" t="e">
        <f>NA()</f>
        <v>#N/A</v>
      </c>
      <c r="AG116" t="e">
        <f>NA()</f>
        <v>#N/A</v>
      </c>
      <c r="AH116" t="e">
        <f>NA()</f>
        <v>#N/A</v>
      </c>
      <c r="AI116" t="e">
        <f>NA()</f>
        <v>#N/A</v>
      </c>
      <c r="AJ116" t="e">
        <f>NA()</f>
        <v>#N/A</v>
      </c>
      <c r="AK116" t="e">
        <f>NA()</f>
        <v>#N/A</v>
      </c>
      <c r="AL116" t="e">
        <f>NA()</f>
        <v>#N/A</v>
      </c>
      <c r="AM116" t="e">
        <f>NA()</f>
        <v>#N/A</v>
      </c>
      <c r="AN116">
        <v>1982</v>
      </c>
      <c r="AO116">
        <v>13.99783</v>
      </c>
      <c r="AP116">
        <v>14.218629999999999</v>
      </c>
      <c r="AQ116" t="e">
        <f>NA()</f>
        <v>#N/A</v>
      </c>
      <c r="AR116" t="e">
        <f>NA()</f>
        <v>#N/A</v>
      </c>
      <c r="AS116" t="e">
        <f>NA()</f>
        <v>#N/A</v>
      </c>
    </row>
    <row r="117" spans="1:45">
      <c r="A117" t="e">
        <f>NA()</f>
        <v>#N/A</v>
      </c>
      <c r="B117" t="e">
        <f>NA()</f>
        <v>#N/A</v>
      </c>
      <c r="C117" t="e">
        <f>NA()</f>
        <v>#N/A</v>
      </c>
      <c r="D117" t="e">
        <f>NA()</f>
        <v>#N/A</v>
      </c>
      <c r="E117" t="e">
        <f>NA()</f>
        <v>#N/A</v>
      </c>
      <c r="F117" t="e">
        <f>NA()</f>
        <v>#N/A</v>
      </c>
      <c r="G117" t="e">
        <f>NA()</f>
        <v>#N/A</v>
      </c>
      <c r="H117" t="e">
        <f>NA()</f>
        <v>#N/A</v>
      </c>
      <c r="I117" t="e">
        <f>NA()</f>
        <v>#N/A</v>
      </c>
      <c r="J117" t="e">
        <f>NA()</f>
        <v>#N/A</v>
      </c>
      <c r="K117" t="e">
        <f>NA()</f>
        <v>#N/A</v>
      </c>
      <c r="L117" t="e">
        <f>NA()</f>
        <v>#N/A</v>
      </c>
      <c r="M117" t="e">
        <f>NA()</f>
        <v>#N/A</v>
      </c>
      <c r="N117" t="e">
        <f>NA()</f>
        <v>#N/A</v>
      </c>
      <c r="O117" t="e">
        <f>NA()</f>
        <v>#N/A</v>
      </c>
      <c r="P117" t="e">
        <f>NA()</f>
        <v>#N/A</v>
      </c>
      <c r="Q117" t="e">
        <f>NA()</f>
        <v>#N/A</v>
      </c>
      <c r="R117" t="e">
        <f>NA()</f>
        <v>#N/A</v>
      </c>
      <c r="S117" t="e">
        <f>NA()</f>
        <v>#N/A</v>
      </c>
      <c r="T117" t="e">
        <f>NA()</f>
        <v>#N/A</v>
      </c>
      <c r="U117" t="e">
        <f>NA()</f>
        <v>#N/A</v>
      </c>
      <c r="V117" t="e">
        <f>NA()</f>
        <v>#N/A</v>
      </c>
      <c r="W117" t="e">
        <f>NA()</f>
        <v>#N/A</v>
      </c>
      <c r="X117" t="e">
        <f>NA()</f>
        <v>#N/A</v>
      </c>
      <c r="Y117">
        <v>1943</v>
      </c>
      <c r="Z117">
        <v>9.5505200000000006</v>
      </c>
      <c r="AA117">
        <v>9.0181039999999992</v>
      </c>
      <c r="AB117">
        <v>1983</v>
      </c>
      <c r="AC117">
        <v>3.9702920000000002</v>
      </c>
      <c r="AD117">
        <v>4.5475849999999998</v>
      </c>
      <c r="AE117" t="e">
        <f>NA()</f>
        <v>#N/A</v>
      </c>
      <c r="AF117" t="e">
        <f>NA()</f>
        <v>#N/A</v>
      </c>
      <c r="AG117" t="e">
        <f>NA()</f>
        <v>#N/A</v>
      </c>
      <c r="AH117" t="e">
        <f>NA()</f>
        <v>#N/A</v>
      </c>
      <c r="AI117" t="e">
        <f>NA()</f>
        <v>#N/A</v>
      </c>
      <c r="AJ117" t="e">
        <f>NA()</f>
        <v>#N/A</v>
      </c>
      <c r="AK117" t="e">
        <f>NA()</f>
        <v>#N/A</v>
      </c>
      <c r="AL117" t="e">
        <f>NA()</f>
        <v>#N/A</v>
      </c>
      <c r="AM117" t="e">
        <f>NA()</f>
        <v>#N/A</v>
      </c>
      <c r="AN117">
        <v>1983</v>
      </c>
      <c r="AO117">
        <v>13.99783</v>
      </c>
      <c r="AP117">
        <v>14.229369999999999</v>
      </c>
      <c r="AQ117" t="e">
        <f>NA()</f>
        <v>#N/A</v>
      </c>
      <c r="AR117" t="e">
        <f>NA()</f>
        <v>#N/A</v>
      </c>
      <c r="AS117" t="e">
        <f>NA()</f>
        <v>#N/A</v>
      </c>
    </row>
    <row r="118" spans="1:45">
      <c r="A118" t="e">
        <f>NA()</f>
        <v>#N/A</v>
      </c>
      <c r="B118" t="e">
        <f>NA()</f>
        <v>#N/A</v>
      </c>
      <c r="C118" t="e">
        <f>NA()</f>
        <v>#N/A</v>
      </c>
      <c r="D118" t="e">
        <f>NA()</f>
        <v>#N/A</v>
      </c>
      <c r="E118" t="e">
        <f>NA()</f>
        <v>#N/A</v>
      </c>
      <c r="F118" t="e">
        <f>NA()</f>
        <v>#N/A</v>
      </c>
      <c r="G118" t="e">
        <f>NA()</f>
        <v>#N/A</v>
      </c>
      <c r="H118" t="e">
        <f>NA()</f>
        <v>#N/A</v>
      </c>
      <c r="I118" t="e">
        <f>NA()</f>
        <v>#N/A</v>
      </c>
      <c r="J118" t="e">
        <f>NA()</f>
        <v>#N/A</v>
      </c>
      <c r="K118" t="e">
        <f>NA()</f>
        <v>#N/A</v>
      </c>
      <c r="L118" t="e">
        <f>NA()</f>
        <v>#N/A</v>
      </c>
      <c r="M118" t="e">
        <f>NA()</f>
        <v>#N/A</v>
      </c>
      <c r="N118" t="e">
        <f>NA()</f>
        <v>#N/A</v>
      </c>
      <c r="O118" t="e">
        <f>NA()</f>
        <v>#N/A</v>
      </c>
      <c r="P118" t="e">
        <f>NA()</f>
        <v>#N/A</v>
      </c>
      <c r="Q118" t="e">
        <f>NA()</f>
        <v>#N/A</v>
      </c>
      <c r="R118" t="e">
        <f>NA()</f>
        <v>#N/A</v>
      </c>
      <c r="S118" t="e">
        <f>NA()</f>
        <v>#N/A</v>
      </c>
      <c r="T118" t="e">
        <f>NA()</f>
        <v>#N/A</v>
      </c>
      <c r="U118" t="e">
        <f>NA()</f>
        <v>#N/A</v>
      </c>
      <c r="V118" t="e">
        <f>NA()</f>
        <v>#N/A</v>
      </c>
      <c r="W118" t="e">
        <f>NA()</f>
        <v>#N/A</v>
      </c>
      <c r="X118" t="e">
        <f>NA()</f>
        <v>#N/A</v>
      </c>
      <c r="Y118">
        <v>1944</v>
      </c>
      <c r="Z118">
        <v>10.05264</v>
      </c>
      <c r="AA118">
        <v>8.9750700000000005</v>
      </c>
      <c r="AB118">
        <v>1984</v>
      </c>
      <c r="AC118">
        <v>3.8712010000000001</v>
      </c>
      <c r="AD118">
        <v>4.4550169999999998</v>
      </c>
      <c r="AE118" t="e">
        <f>NA()</f>
        <v>#N/A</v>
      </c>
      <c r="AF118" t="e">
        <f>NA()</f>
        <v>#N/A</v>
      </c>
      <c r="AG118" t="e">
        <f>NA()</f>
        <v>#N/A</v>
      </c>
      <c r="AH118" t="e">
        <f>NA()</f>
        <v>#N/A</v>
      </c>
      <c r="AI118" t="e">
        <f>NA()</f>
        <v>#N/A</v>
      </c>
      <c r="AJ118" t="e">
        <f>NA()</f>
        <v>#N/A</v>
      </c>
      <c r="AK118" t="e">
        <f>NA()</f>
        <v>#N/A</v>
      </c>
      <c r="AL118" t="e">
        <f>NA()</f>
        <v>#N/A</v>
      </c>
      <c r="AM118" t="e">
        <f>NA()</f>
        <v>#N/A</v>
      </c>
      <c r="AN118">
        <v>1984</v>
      </c>
      <c r="AO118">
        <v>14.07788</v>
      </c>
      <c r="AP118">
        <v>14.227320000000001</v>
      </c>
      <c r="AQ118" t="e">
        <f>NA()</f>
        <v>#N/A</v>
      </c>
      <c r="AR118" t="e">
        <f>NA()</f>
        <v>#N/A</v>
      </c>
      <c r="AS118" t="e">
        <f>NA()</f>
        <v>#N/A</v>
      </c>
    </row>
    <row r="119" spans="1:45">
      <c r="A119" t="e">
        <f>NA()</f>
        <v>#N/A</v>
      </c>
      <c r="B119" t="e">
        <f>NA()</f>
        <v>#N/A</v>
      </c>
      <c r="C119" t="e">
        <f>NA()</f>
        <v>#N/A</v>
      </c>
      <c r="D119" t="e">
        <f>NA()</f>
        <v>#N/A</v>
      </c>
      <c r="E119" t="e">
        <f>NA()</f>
        <v>#N/A</v>
      </c>
      <c r="F119" t="e">
        <f>NA()</f>
        <v>#N/A</v>
      </c>
      <c r="G119" t="e">
        <f>NA()</f>
        <v>#N/A</v>
      </c>
      <c r="H119" t="e">
        <f>NA()</f>
        <v>#N/A</v>
      </c>
      <c r="I119" t="e">
        <f>NA()</f>
        <v>#N/A</v>
      </c>
      <c r="J119" t="e">
        <f>NA()</f>
        <v>#N/A</v>
      </c>
      <c r="K119" t="e">
        <f>NA()</f>
        <v>#N/A</v>
      </c>
      <c r="L119" t="e">
        <f>NA()</f>
        <v>#N/A</v>
      </c>
      <c r="M119" t="e">
        <f>NA()</f>
        <v>#N/A</v>
      </c>
      <c r="N119" t="e">
        <f>NA()</f>
        <v>#N/A</v>
      </c>
      <c r="O119" t="e">
        <f>NA()</f>
        <v>#N/A</v>
      </c>
      <c r="P119" t="e">
        <f>NA()</f>
        <v>#N/A</v>
      </c>
      <c r="Q119" t="e">
        <f>NA()</f>
        <v>#N/A</v>
      </c>
      <c r="R119" t="e">
        <f>NA()</f>
        <v>#N/A</v>
      </c>
      <c r="S119" t="e">
        <f>NA()</f>
        <v>#N/A</v>
      </c>
      <c r="T119" t="e">
        <f>NA()</f>
        <v>#N/A</v>
      </c>
      <c r="U119" t="e">
        <f>NA()</f>
        <v>#N/A</v>
      </c>
      <c r="V119" t="e">
        <f>NA()</f>
        <v>#N/A</v>
      </c>
      <c r="W119" t="e">
        <f>NA()</f>
        <v>#N/A</v>
      </c>
      <c r="X119" t="e">
        <f>NA()</f>
        <v>#N/A</v>
      </c>
      <c r="Y119">
        <v>1945</v>
      </c>
      <c r="Z119">
        <v>10.31715</v>
      </c>
      <c r="AA119">
        <v>9.0897699999999997</v>
      </c>
      <c r="AB119">
        <v>1985</v>
      </c>
      <c r="AC119">
        <v>3.73767</v>
      </c>
      <c r="AD119">
        <v>4.4230520000000002</v>
      </c>
      <c r="AE119" t="e">
        <f>NA()</f>
        <v>#N/A</v>
      </c>
      <c r="AF119" t="e">
        <f>NA()</f>
        <v>#N/A</v>
      </c>
      <c r="AG119" t="e">
        <f>NA()</f>
        <v>#N/A</v>
      </c>
      <c r="AH119" t="e">
        <f>NA()</f>
        <v>#N/A</v>
      </c>
      <c r="AI119" t="e">
        <f>NA()</f>
        <v>#N/A</v>
      </c>
      <c r="AJ119" t="e">
        <f>NA()</f>
        <v>#N/A</v>
      </c>
      <c r="AK119" t="e">
        <f>NA()</f>
        <v>#N/A</v>
      </c>
      <c r="AL119" t="e">
        <f>NA()</f>
        <v>#N/A</v>
      </c>
      <c r="AM119" t="e">
        <f>NA()</f>
        <v>#N/A</v>
      </c>
      <c r="AN119">
        <v>1985</v>
      </c>
      <c r="AO119">
        <v>14.07788</v>
      </c>
      <c r="AP119">
        <v>14.23897</v>
      </c>
      <c r="AQ119" t="e">
        <f>NA()</f>
        <v>#N/A</v>
      </c>
      <c r="AR119" t="e">
        <f>NA()</f>
        <v>#N/A</v>
      </c>
      <c r="AS119" t="e">
        <f>NA()</f>
        <v>#N/A</v>
      </c>
    </row>
    <row r="120" spans="1:45">
      <c r="A120" t="e">
        <f>NA()</f>
        <v>#N/A</v>
      </c>
      <c r="B120" t="e">
        <f>NA()</f>
        <v>#N/A</v>
      </c>
      <c r="C120" t="e">
        <f>NA()</f>
        <v>#N/A</v>
      </c>
      <c r="D120" t="e">
        <f>NA()</f>
        <v>#N/A</v>
      </c>
      <c r="E120" t="e">
        <f>NA()</f>
        <v>#N/A</v>
      </c>
      <c r="F120" t="e">
        <f>NA()</f>
        <v>#N/A</v>
      </c>
      <c r="G120" t="e">
        <f>NA()</f>
        <v>#N/A</v>
      </c>
      <c r="H120" t="e">
        <f>NA()</f>
        <v>#N/A</v>
      </c>
      <c r="I120" t="e">
        <f>NA()</f>
        <v>#N/A</v>
      </c>
      <c r="J120" t="e">
        <f>NA()</f>
        <v>#N/A</v>
      </c>
      <c r="K120" t="e">
        <f>NA()</f>
        <v>#N/A</v>
      </c>
      <c r="L120" t="e">
        <f>NA()</f>
        <v>#N/A</v>
      </c>
      <c r="M120" t="e">
        <f>NA()</f>
        <v>#N/A</v>
      </c>
      <c r="N120" t="e">
        <f>NA()</f>
        <v>#N/A</v>
      </c>
      <c r="O120" t="e">
        <f>NA()</f>
        <v>#N/A</v>
      </c>
      <c r="P120" t="e">
        <f>NA()</f>
        <v>#N/A</v>
      </c>
      <c r="Q120" t="e">
        <f>NA()</f>
        <v>#N/A</v>
      </c>
      <c r="R120" t="e">
        <f>NA()</f>
        <v>#N/A</v>
      </c>
      <c r="S120" t="e">
        <f>NA()</f>
        <v>#N/A</v>
      </c>
      <c r="T120" t="e">
        <f>NA()</f>
        <v>#N/A</v>
      </c>
      <c r="U120" t="e">
        <f>NA()</f>
        <v>#N/A</v>
      </c>
      <c r="V120" t="e">
        <f>NA()</f>
        <v>#N/A</v>
      </c>
      <c r="W120" t="e">
        <f>NA()</f>
        <v>#N/A</v>
      </c>
      <c r="X120" t="e">
        <f>NA()</f>
        <v>#N/A</v>
      </c>
      <c r="Y120">
        <v>1946</v>
      </c>
      <c r="Z120">
        <v>10.489269999999999</v>
      </c>
      <c r="AA120">
        <v>9.4538779999999996</v>
      </c>
      <c r="AB120">
        <v>1986</v>
      </c>
      <c r="AC120" t="e">
        <f>NA()</f>
        <v>#N/A</v>
      </c>
      <c r="AD120">
        <v>4.3993700000000002</v>
      </c>
      <c r="AE120" t="e">
        <f>NA()</f>
        <v>#N/A</v>
      </c>
      <c r="AF120" t="e">
        <f>NA()</f>
        <v>#N/A</v>
      </c>
      <c r="AG120" t="e">
        <f>NA()</f>
        <v>#N/A</v>
      </c>
      <c r="AH120" t="e">
        <f>NA()</f>
        <v>#N/A</v>
      </c>
      <c r="AI120" t="e">
        <f>NA()</f>
        <v>#N/A</v>
      </c>
      <c r="AJ120" t="e">
        <f>NA()</f>
        <v>#N/A</v>
      </c>
      <c r="AK120" t="e">
        <f>NA()</f>
        <v>#N/A</v>
      </c>
      <c r="AL120" t="e">
        <f>NA()</f>
        <v>#N/A</v>
      </c>
      <c r="AM120" t="e">
        <f>NA()</f>
        <v>#N/A</v>
      </c>
      <c r="AN120">
        <v>1986</v>
      </c>
      <c r="AO120">
        <v>14.07788</v>
      </c>
      <c r="AP120">
        <v>14.252610000000001</v>
      </c>
      <c r="AQ120" t="e">
        <f>NA()</f>
        <v>#N/A</v>
      </c>
      <c r="AR120" t="e">
        <f>NA()</f>
        <v>#N/A</v>
      </c>
      <c r="AS120" t="e">
        <f>NA()</f>
        <v>#N/A</v>
      </c>
    </row>
    <row r="121" spans="1:45">
      <c r="A121" t="e">
        <f>NA()</f>
        <v>#N/A</v>
      </c>
      <c r="B121" t="e">
        <f>NA()</f>
        <v>#N/A</v>
      </c>
      <c r="C121" t="e">
        <f>NA()</f>
        <v>#N/A</v>
      </c>
      <c r="D121" t="e">
        <f>NA()</f>
        <v>#N/A</v>
      </c>
      <c r="E121" t="e">
        <f>NA()</f>
        <v>#N/A</v>
      </c>
      <c r="F121" t="e">
        <f>NA()</f>
        <v>#N/A</v>
      </c>
      <c r="G121" t="e">
        <f>NA()</f>
        <v>#N/A</v>
      </c>
      <c r="H121" t="e">
        <f>NA()</f>
        <v>#N/A</v>
      </c>
      <c r="I121" t="e">
        <f>NA()</f>
        <v>#N/A</v>
      </c>
      <c r="J121" t="e">
        <f>NA()</f>
        <v>#N/A</v>
      </c>
      <c r="K121" t="e">
        <f>NA()</f>
        <v>#N/A</v>
      </c>
      <c r="L121" t="e">
        <f>NA()</f>
        <v>#N/A</v>
      </c>
      <c r="M121" t="e">
        <f>NA()</f>
        <v>#N/A</v>
      </c>
      <c r="N121" t="e">
        <f>NA()</f>
        <v>#N/A</v>
      </c>
      <c r="O121" t="e">
        <f>NA()</f>
        <v>#N/A</v>
      </c>
      <c r="P121" t="e">
        <f>NA()</f>
        <v>#N/A</v>
      </c>
      <c r="Q121" t="e">
        <f>NA()</f>
        <v>#N/A</v>
      </c>
      <c r="R121" t="e">
        <f>NA()</f>
        <v>#N/A</v>
      </c>
      <c r="S121" t="e">
        <f>NA()</f>
        <v>#N/A</v>
      </c>
      <c r="T121" t="e">
        <f>NA()</f>
        <v>#N/A</v>
      </c>
      <c r="U121" t="e">
        <f>NA()</f>
        <v>#N/A</v>
      </c>
      <c r="V121" t="e">
        <f>NA()</f>
        <v>#N/A</v>
      </c>
      <c r="W121" t="e">
        <f>NA()</f>
        <v>#N/A</v>
      </c>
      <c r="X121" t="e">
        <f>NA()</f>
        <v>#N/A</v>
      </c>
      <c r="Y121">
        <v>1947</v>
      </c>
      <c r="Z121">
        <v>10.46735</v>
      </c>
      <c r="AA121">
        <v>9.5533560000000008</v>
      </c>
      <c r="AB121">
        <v>1987</v>
      </c>
      <c r="AC121">
        <v>3.2188759999999998</v>
      </c>
      <c r="AD121">
        <v>4.3736940000000004</v>
      </c>
      <c r="AE121" t="e">
        <f>NA()</f>
        <v>#N/A</v>
      </c>
      <c r="AF121" t="e">
        <f>NA()</f>
        <v>#N/A</v>
      </c>
      <c r="AG121" t="e">
        <f>NA()</f>
        <v>#N/A</v>
      </c>
      <c r="AH121" t="e">
        <f>NA()</f>
        <v>#N/A</v>
      </c>
      <c r="AI121" t="e">
        <f>NA()</f>
        <v>#N/A</v>
      </c>
      <c r="AJ121" t="e">
        <f>NA()</f>
        <v>#N/A</v>
      </c>
      <c r="AK121" t="e">
        <f>NA()</f>
        <v>#N/A</v>
      </c>
      <c r="AL121" t="e">
        <f>NA()</f>
        <v>#N/A</v>
      </c>
      <c r="AM121" t="e">
        <f>NA()</f>
        <v>#N/A</v>
      </c>
      <c r="AN121">
        <v>1987</v>
      </c>
      <c r="AO121">
        <v>14.15198</v>
      </c>
      <c r="AP121">
        <v>14.265610000000001</v>
      </c>
      <c r="AQ121" t="e">
        <f>NA()</f>
        <v>#N/A</v>
      </c>
      <c r="AR121" t="e">
        <f>NA()</f>
        <v>#N/A</v>
      </c>
      <c r="AS121" t="e">
        <f>NA()</f>
        <v>#N/A</v>
      </c>
    </row>
    <row r="122" spans="1:45">
      <c r="A122" t="e">
        <f>NA()</f>
        <v>#N/A</v>
      </c>
      <c r="B122" t="e">
        <f>NA()</f>
        <v>#N/A</v>
      </c>
      <c r="C122" t="e">
        <f>NA()</f>
        <v>#N/A</v>
      </c>
      <c r="D122" t="e">
        <f>NA()</f>
        <v>#N/A</v>
      </c>
      <c r="E122" t="e">
        <f>NA()</f>
        <v>#N/A</v>
      </c>
      <c r="F122" t="e">
        <f>NA()</f>
        <v>#N/A</v>
      </c>
      <c r="G122" t="e">
        <f>NA()</f>
        <v>#N/A</v>
      </c>
      <c r="H122" t="e">
        <f>NA()</f>
        <v>#N/A</v>
      </c>
      <c r="I122" t="e">
        <f>NA()</f>
        <v>#N/A</v>
      </c>
      <c r="J122" t="e">
        <f>NA()</f>
        <v>#N/A</v>
      </c>
      <c r="K122" t="e">
        <f>NA()</f>
        <v>#N/A</v>
      </c>
      <c r="L122" t="e">
        <f>NA()</f>
        <v>#N/A</v>
      </c>
      <c r="M122" t="e">
        <f>NA()</f>
        <v>#N/A</v>
      </c>
      <c r="N122" t="e">
        <f>NA()</f>
        <v>#N/A</v>
      </c>
      <c r="O122" t="e">
        <f>NA()</f>
        <v>#N/A</v>
      </c>
      <c r="P122" t="e">
        <f>NA()</f>
        <v>#N/A</v>
      </c>
      <c r="Q122" t="e">
        <f>NA()</f>
        <v>#N/A</v>
      </c>
      <c r="R122" t="e">
        <f>NA()</f>
        <v>#N/A</v>
      </c>
      <c r="S122" t="e">
        <f>NA()</f>
        <v>#N/A</v>
      </c>
      <c r="T122" t="e">
        <f>NA()</f>
        <v>#N/A</v>
      </c>
      <c r="U122" t="e">
        <f>NA()</f>
        <v>#N/A</v>
      </c>
      <c r="V122" t="e">
        <f>NA()</f>
        <v>#N/A</v>
      </c>
      <c r="W122" t="e">
        <f>NA()</f>
        <v>#N/A</v>
      </c>
      <c r="X122" t="e">
        <f>NA()</f>
        <v>#N/A</v>
      </c>
      <c r="Y122">
        <v>1948</v>
      </c>
      <c r="Z122">
        <v>10.32446</v>
      </c>
      <c r="AA122">
        <v>9.5792479999999998</v>
      </c>
      <c r="AB122" t="e">
        <f>NA()</f>
        <v>#N/A</v>
      </c>
      <c r="AC122" t="e">
        <f>NA()</f>
        <v>#N/A</v>
      </c>
      <c r="AD122" t="e">
        <f>NA()</f>
        <v>#N/A</v>
      </c>
      <c r="AE122" t="e">
        <f>NA()</f>
        <v>#N/A</v>
      </c>
      <c r="AF122" t="e">
        <f>NA()</f>
        <v>#N/A</v>
      </c>
      <c r="AG122" t="e">
        <f>NA()</f>
        <v>#N/A</v>
      </c>
      <c r="AH122" t="e">
        <f>NA()</f>
        <v>#N/A</v>
      </c>
      <c r="AI122" t="e">
        <f>NA()</f>
        <v>#N/A</v>
      </c>
      <c r="AJ122" t="e">
        <f>NA()</f>
        <v>#N/A</v>
      </c>
      <c r="AK122" t="e">
        <f>NA()</f>
        <v>#N/A</v>
      </c>
      <c r="AL122" t="e">
        <f>NA()</f>
        <v>#N/A</v>
      </c>
      <c r="AM122" t="e">
        <f>NA()</f>
        <v>#N/A</v>
      </c>
      <c r="AN122">
        <v>1988</v>
      </c>
      <c r="AO122">
        <v>14.28551</v>
      </c>
      <c r="AP122">
        <v>14.27605</v>
      </c>
      <c r="AQ122" t="e">
        <f>NA()</f>
        <v>#N/A</v>
      </c>
      <c r="AR122" t="e">
        <f>NA()</f>
        <v>#N/A</v>
      </c>
      <c r="AS122" t="e">
        <f>NA()</f>
        <v>#N/A</v>
      </c>
    </row>
    <row r="123" spans="1:45">
      <c r="A123" t="e">
        <f>NA()</f>
        <v>#N/A</v>
      </c>
      <c r="B123" t="e">
        <f>NA()</f>
        <v>#N/A</v>
      </c>
      <c r="C123" t="e">
        <f>NA()</f>
        <v>#N/A</v>
      </c>
      <c r="D123" t="e">
        <f>NA()</f>
        <v>#N/A</v>
      </c>
      <c r="E123" t="e">
        <f>NA()</f>
        <v>#N/A</v>
      </c>
      <c r="F123" t="e">
        <f>NA()</f>
        <v>#N/A</v>
      </c>
      <c r="G123" t="e">
        <f>NA()</f>
        <v>#N/A</v>
      </c>
      <c r="H123" t="e">
        <f>NA()</f>
        <v>#N/A</v>
      </c>
      <c r="I123" t="e">
        <f>NA()</f>
        <v>#N/A</v>
      </c>
      <c r="J123" t="e">
        <f>NA()</f>
        <v>#N/A</v>
      </c>
      <c r="K123" t="e">
        <f>NA()</f>
        <v>#N/A</v>
      </c>
      <c r="L123" t="e">
        <f>NA()</f>
        <v>#N/A</v>
      </c>
      <c r="M123" t="e">
        <f>NA()</f>
        <v>#N/A</v>
      </c>
      <c r="N123" t="e">
        <f>NA()</f>
        <v>#N/A</v>
      </c>
      <c r="O123" t="e">
        <f>NA()</f>
        <v>#N/A</v>
      </c>
      <c r="P123" t="e">
        <f>NA()</f>
        <v>#N/A</v>
      </c>
      <c r="Q123" t="e">
        <f>NA()</f>
        <v>#N/A</v>
      </c>
      <c r="R123" t="e">
        <f>NA()</f>
        <v>#N/A</v>
      </c>
      <c r="S123" t="e">
        <f>NA()</f>
        <v>#N/A</v>
      </c>
      <c r="T123" t="e">
        <f>NA()</f>
        <v>#N/A</v>
      </c>
      <c r="U123" t="e">
        <f>NA()</f>
        <v>#N/A</v>
      </c>
      <c r="V123" t="e">
        <f>NA()</f>
        <v>#N/A</v>
      </c>
      <c r="W123" t="e">
        <f>NA()</f>
        <v>#N/A</v>
      </c>
      <c r="X123" t="e">
        <f>NA()</f>
        <v>#N/A</v>
      </c>
      <c r="Y123">
        <v>1949</v>
      </c>
      <c r="Z123">
        <v>10.28613</v>
      </c>
      <c r="AA123">
        <v>9.6490989999999996</v>
      </c>
      <c r="AB123" t="e">
        <f>NA()</f>
        <v>#N/A</v>
      </c>
      <c r="AC123" t="e">
        <f>NA()</f>
        <v>#N/A</v>
      </c>
      <c r="AD123" t="e">
        <f>NA()</f>
        <v>#N/A</v>
      </c>
      <c r="AE123" t="e">
        <f>NA()</f>
        <v>#N/A</v>
      </c>
      <c r="AF123" t="e">
        <f>NA()</f>
        <v>#N/A</v>
      </c>
      <c r="AG123" t="e">
        <f>NA()</f>
        <v>#N/A</v>
      </c>
      <c r="AH123" t="e">
        <f>NA()</f>
        <v>#N/A</v>
      </c>
      <c r="AI123" t="e">
        <f>NA()</f>
        <v>#N/A</v>
      </c>
      <c r="AJ123" t="e">
        <f>NA()</f>
        <v>#N/A</v>
      </c>
      <c r="AK123" t="e">
        <f>NA()</f>
        <v>#N/A</v>
      </c>
      <c r="AL123" t="e">
        <f>NA()</f>
        <v>#N/A</v>
      </c>
      <c r="AM123" t="e">
        <f>NA()</f>
        <v>#N/A</v>
      </c>
      <c r="AN123">
        <v>1989</v>
      </c>
      <c r="AO123">
        <v>14.28551</v>
      </c>
      <c r="AP123">
        <v>14.28993</v>
      </c>
      <c r="AQ123" t="e">
        <f>NA()</f>
        <v>#N/A</v>
      </c>
      <c r="AR123" t="e">
        <f>NA()</f>
        <v>#N/A</v>
      </c>
      <c r="AS123" t="e">
        <f>NA()</f>
        <v>#N/A</v>
      </c>
    </row>
    <row r="124" spans="1:45">
      <c r="A124" t="e">
        <f>NA()</f>
        <v>#N/A</v>
      </c>
      <c r="B124" t="e">
        <f>NA()</f>
        <v>#N/A</v>
      </c>
      <c r="C124" t="e">
        <f>NA()</f>
        <v>#N/A</v>
      </c>
      <c r="D124" t="e">
        <f>NA()</f>
        <v>#N/A</v>
      </c>
      <c r="E124" t="e">
        <f>NA()</f>
        <v>#N/A</v>
      </c>
      <c r="F124" t="e">
        <f>NA()</f>
        <v>#N/A</v>
      </c>
      <c r="G124" t="e">
        <f>NA()</f>
        <v>#N/A</v>
      </c>
      <c r="H124" t="e">
        <f>NA()</f>
        <v>#N/A</v>
      </c>
      <c r="I124" t="e">
        <f>NA()</f>
        <v>#N/A</v>
      </c>
      <c r="J124" t="e">
        <f>NA()</f>
        <v>#N/A</v>
      </c>
      <c r="K124" t="e">
        <f>NA()</f>
        <v>#N/A</v>
      </c>
      <c r="L124" t="e">
        <f>NA()</f>
        <v>#N/A</v>
      </c>
      <c r="M124" t="e">
        <f>NA()</f>
        <v>#N/A</v>
      </c>
      <c r="N124" t="e">
        <f>NA()</f>
        <v>#N/A</v>
      </c>
      <c r="O124" t="e">
        <f>NA()</f>
        <v>#N/A</v>
      </c>
      <c r="P124" t="e">
        <f>NA()</f>
        <v>#N/A</v>
      </c>
      <c r="Q124" t="e">
        <f>NA()</f>
        <v>#N/A</v>
      </c>
      <c r="R124" t="e">
        <f>NA()</f>
        <v>#N/A</v>
      </c>
      <c r="S124" t="e">
        <f>NA()</f>
        <v>#N/A</v>
      </c>
      <c r="T124" t="e">
        <f>NA()</f>
        <v>#N/A</v>
      </c>
      <c r="U124" t="e">
        <f>NA()</f>
        <v>#N/A</v>
      </c>
      <c r="V124" t="e">
        <f>NA()</f>
        <v>#N/A</v>
      </c>
      <c r="W124" t="e">
        <f>NA()</f>
        <v>#N/A</v>
      </c>
      <c r="X124" t="e">
        <f>NA()</f>
        <v>#N/A</v>
      </c>
      <c r="Y124">
        <v>1950</v>
      </c>
      <c r="Z124">
        <v>10.251569999999999</v>
      </c>
      <c r="AA124">
        <v>9.6123419999999999</v>
      </c>
      <c r="AB124" t="e">
        <f>NA()</f>
        <v>#N/A</v>
      </c>
      <c r="AC124" t="e">
        <f>NA()</f>
        <v>#N/A</v>
      </c>
      <c r="AD124" t="e">
        <f>NA()</f>
        <v>#N/A</v>
      </c>
      <c r="AE124" t="e">
        <f>NA()</f>
        <v>#N/A</v>
      </c>
      <c r="AF124" t="e">
        <f>NA()</f>
        <v>#N/A</v>
      </c>
      <c r="AG124" t="e">
        <f>NA()</f>
        <v>#N/A</v>
      </c>
      <c r="AH124" t="e">
        <f>NA()</f>
        <v>#N/A</v>
      </c>
      <c r="AI124" t="e">
        <f>NA()</f>
        <v>#N/A</v>
      </c>
      <c r="AJ124" t="e">
        <f>NA()</f>
        <v>#N/A</v>
      </c>
      <c r="AK124" t="e">
        <f>NA()</f>
        <v>#N/A</v>
      </c>
      <c r="AL124" t="e">
        <f>NA()</f>
        <v>#N/A</v>
      </c>
      <c r="AM124" t="e">
        <f>NA()</f>
        <v>#N/A</v>
      </c>
      <c r="AN124">
        <v>1990</v>
      </c>
      <c r="AO124">
        <v>14.34614</v>
      </c>
      <c r="AP124">
        <v>14.313230000000001</v>
      </c>
      <c r="AQ124" t="e">
        <f>NA()</f>
        <v>#N/A</v>
      </c>
      <c r="AR124" t="e">
        <f>NA()</f>
        <v>#N/A</v>
      </c>
      <c r="AS124" t="e">
        <f>NA()</f>
        <v>#N/A</v>
      </c>
    </row>
    <row r="125" spans="1:45">
      <c r="A125" t="e">
        <f>NA()</f>
        <v>#N/A</v>
      </c>
      <c r="B125" t="e">
        <f>NA()</f>
        <v>#N/A</v>
      </c>
      <c r="C125" t="e">
        <f>NA()</f>
        <v>#N/A</v>
      </c>
      <c r="D125" t="e">
        <f>NA()</f>
        <v>#N/A</v>
      </c>
      <c r="E125" t="e">
        <f>NA()</f>
        <v>#N/A</v>
      </c>
      <c r="F125" t="e">
        <f>NA()</f>
        <v>#N/A</v>
      </c>
      <c r="G125" t="e">
        <f>NA()</f>
        <v>#N/A</v>
      </c>
      <c r="H125" t="e">
        <f>NA()</f>
        <v>#N/A</v>
      </c>
      <c r="I125" t="e">
        <f>NA()</f>
        <v>#N/A</v>
      </c>
      <c r="J125" t="e">
        <f>NA()</f>
        <v>#N/A</v>
      </c>
      <c r="K125" t="e">
        <f>NA()</f>
        <v>#N/A</v>
      </c>
      <c r="L125" t="e">
        <f>NA()</f>
        <v>#N/A</v>
      </c>
      <c r="M125" t="e">
        <f>NA()</f>
        <v>#N/A</v>
      </c>
      <c r="N125" t="e">
        <f>NA()</f>
        <v>#N/A</v>
      </c>
      <c r="O125" t="e">
        <f>NA()</f>
        <v>#N/A</v>
      </c>
      <c r="P125" t="e">
        <f>NA()</f>
        <v>#N/A</v>
      </c>
      <c r="Q125" t="e">
        <f>NA()</f>
        <v>#N/A</v>
      </c>
      <c r="R125" t="e">
        <f>NA()</f>
        <v>#N/A</v>
      </c>
      <c r="S125" t="e">
        <f>NA()</f>
        <v>#N/A</v>
      </c>
      <c r="T125" t="e">
        <f>NA()</f>
        <v>#N/A</v>
      </c>
      <c r="U125" t="e">
        <f>NA()</f>
        <v>#N/A</v>
      </c>
      <c r="V125" t="e">
        <f>NA()</f>
        <v>#N/A</v>
      </c>
      <c r="W125" t="e">
        <f>NA()</f>
        <v>#N/A</v>
      </c>
      <c r="X125" t="e">
        <f>NA()</f>
        <v>#N/A</v>
      </c>
      <c r="Y125">
        <v>1951</v>
      </c>
      <c r="Z125">
        <v>10.21917</v>
      </c>
      <c r="AA125">
        <v>9.5896120000000007</v>
      </c>
      <c r="AB125" t="e">
        <f>NA()</f>
        <v>#N/A</v>
      </c>
      <c r="AC125" t="e">
        <f>NA()</f>
        <v>#N/A</v>
      </c>
      <c r="AD125" t="e">
        <f>NA()</f>
        <v>#N/A</v>
      </c>
      <c r="AE125" t="e">
        <f>NA()</f>
        <v>#N/A</v>
      </c>
      <c r="AF125" t="e">
        <f>NA()</f>
        <v>#N/A</v>
      </c>
      <c r="AG125" t="e">
        <f>NA()</f>
        <v>#N/A</v>
      </c>
      <c r="AH125" t="e">
        <f>NA()</f>
        <v>#N/A</v>
      </c>
      <c r="AI125" t="e">
        <f>NA()</f>
        <v>#N/A</v>
      </c>
      <c r="AJ125" t="e">
        <f>NA()</f>
        <v>#N/A</v>
      </c>
      <c r="AK125" t="e">
        <f>NA()</f>
        <v>#N/A</v>
      </c>
      <c r="AL125" t="e">
        <f>NA()</f>
        <v>#N/A</v>
      </c>
      <c r="AM125" t="e">
        <f>NA()</f>
        <v>#N/A</v>
      </c>
      <c r="AN125">
        <v>1991</v>
      </c>
      <c r="AO125">
        <v>14.34614</v>
      </c>
      <c r="AP125">
        <v>14.347519999999999</v>
      </c>
      <c r="AQ125" t="e">
        <f>NA()</f>
        <v>#N/A</v>
      </c>
      <c r="AR125" t="e">
        <f>NA()</f>
        <v>#N/A</v>
      </c>
      <c r="AS125" t="e">
        <f>NA()</f>
        <v>#N/A</v>
      </c>
    </row>
    <row r="126" spans="1:45">
      <c r="A126" t="e">
        <f>NA()</f>
        <v>#N/A</v>
      </c>
      <c r="B126" t="e">
        <f>NA()</f>
        <v>#N/A</v>
      </c>
      <c r="C126" t="e">
        <f>NA()</f>
        <v>#N/A</v>
      </c>
      <c r="D126" t="e">
        <f>NA()</f>
        <v>#N/A</v>
      </c>
      <c r="E126" t="e">
        <f>NA()</f>
        <v>#N/A</v>
      </c>
      <c r="F126" t="e">
        <f>NA()</f>
        <v>#N/A</v>
      </c>
      <c r="G126" t="e">
        <f>NA()</f>
        <v>#N/A</v>
      </c>
      <c r="H126" t="e">
        <f>NA()</f>
        <v>#N/A</v>
      </c>
      <c r="I126" t="e">
        <f>NA()</f>
        <v>#N/A</v>
      </c>
      <c r="J126" t="e">
        <f>NA()</f>
        <v>#N/A</v>
      </c>
      <c r="K126" t="e">
        <f>NA()</f>
        <v>#N/A</v>
      </c>
      <c r="L126" t="e">
        <f>NA()</f>
        <v>#N/A</v>
      </c>
      <c r="M126" t="e">
        <f>NA()</f>
        <v>#N/A</v>
      </c>
      <c r="N126" t="e">
        <f>NA()</f>
        <v>#N/A</v>
      </c>
      <c r="O126" t="e">
        <f>NA()</f>
        <v>#N/A</v>
      </c>
      <c r="P126" t="e">
        <f>NA()</f>
        <v>#N/A</v>
      </c>
      <c r="Q126" t="e">
        <f>NA()</f>
        <v>#N/A</v>
      </c>
      <c r="R126" t="e">
        <f>NA()</f>
        <v>#N/A</v>
      </c>
      <c r="S126" t="e">
        <f>NA()</f>
        <v>#N/A</v>
      </c>
      <c r="T126" t="e">
        <f>NA()</f>
        <v>#N/A</v>
      </c>
      <c r="U126" t="e">
        <f>NA()</f>
        <v>#N/A</v>
      </c>
      <c r="V126" t="e">
        <f>NA()</f>
        <v>#N/A</v>
      </c>
      <c r="W126" t="e">
        <f>NA()</f>
        <v>#N/A</v>
      </c>
      <c r="X126" t="e">
        <f>NA()</f>
        <v>#N/A</v>
      </c>
      <c r="Y126">
        <v>1952</v>
      </c>
      <c r="Z126">
        <v>10.22045</v>
      </c>
      <c r="AA126">
        <v>9.6156760000000006</v>
      </c>
      <c r="AB126" t="e">
        <f>NA()</f>
        <v>#N/A</v>
      </c>
      <c r="AC126" t="e">
        <f>NA()</f>
        <v>#N/A</v>
      </c>
      <c r="AD126" t="e">
        <f>NA()</f>
        <v>#N/A</v>
      </c>
      <c r="AE126" t="e">
        <f>NA()</f>
        <v>#N/A</v>
      </c>
      <c r="AF126" t="e">
        <f>NA()</f>
        <v>#N/A</v>
      </c>
      <c r="AG126" t="e">
        <f>NA()</f>
        <v>#N/A</v>
      </c>
      <c r="AH126" t="e">
        <f>NA()</f>
        <v>#N/A</v>
      </c>
      <c r="AI126" t="e">
        <f>NA()</f>
        <v>#N/A</v>
      </c>
      <c r="AJ126" t="e">
        <f>NA()</f>
        <v>#N/A</v>
      </c>
      <c r="AK126" t="e">
        <f>NA()</f>
        <v>#N/A</v>
      </c>
      <c r="AL126" t="e">
        <f>NA()</f>
        <v>#N/A</v>
      </c>
      <c r="AM126" t="e">
        <f>NA()</f>
        <v>#N/A</v>
      </c>
      <c r="AN126">
        <v>1992</v>
      </c>
      <c r="AO126">
        <v>14.28551</v>
      </c>
      <c r="AP126">
        <v>14.367290000000001</v>
      </c>
      <c r="AQ126" t="e">
        <f>NA()</f>
        <v>#N/A</v>
      </c>
      <c r="AR126" t="e">
        <f>NA()</f>
        <v>#N/A</v>
      </c>
      <c r="AS126" t="e">
        <f>NA()</f>
        <v>#N/A</v>
      </c>
    </row>
    <row r="127" spans="1:45">
      <c r="A127" t="e">
        <f>NA()</f>
        <v>#N/A</v>
      </c>
      <c r="B127" t="e">
        <f>NA()</f>
        <v>#N/A</v>
      </c>
      <c r="C127" t="e">
        <f>NA()</f>
        <v>#N/A</v>
      </c>
      <c r="D127" t="e">
        <f>NA()</f>
        <v>#N/A</v>
      </c>
      <c r="E127" t="e">
        <f>NA()</f>
        <v>#N/A</v>
      </c>
      <c r="F127" t="e">
        <f>NA()</f>
        <v>#N/A</v>
      </c>
      <c r="G127" t="e">
        <f>NA()</f>
        <v>#N/A</v>
      </c>
      <c r="H127" t="e">
        <f>NA()</f>
        <v>#N/A</v>
      </c>
      <c r="I127" t="e">
        <f>NA()</f>
        <v>#N/A</v>
      </c>
      <c r="J127" t="e">
        <f>NA()</f>
        <v>#N/A</v>
      </c>
      <c r="K127" t="e">
        <f>NA()</f>
        <v>#N/A</v>
      </c>
      <c r="L127" t="e">
        <f>NA()</f>
        <v>#N/A</v>
      </c>
      <c r="M127" t="e">
        <f>NA()</f>
        <v>#N/A</v>
      </c>
      <c r="N127" t="e">
        <f>NA()</f>
        <v>#N/A</v>
      </c>
      <c r="O127" t="e">
        <f>NA()</f>
        <v>#N/A</v>
      </c>
      <c r="P127" t="e">
        <f>NA()</f>
        <v>#N/A</v>
      </c>
      <c r="Q127" t="e">
        <f>NA()</f>
        <v>#N/A</v>
      </c>
      <c r="R127" t="e">
        <f>NA()</f>
        <v>#N/A</v>
      </c>
      <c r="S127" t="e">
        <f>NA()</f>
        <v>#N/A</v>
      </c>
      <c r="T127" t="e">
        <f>NA()</f>
        <v>#N/A</v>
      </c>
      <c r="U127" t="e">
        <f>NA()</f>
        <v>#N/A</v>
      </c>
      <c r="V127" t="e">
        <f>NA()</f>
        <v>#N/A</v>
      </c>
      <c r="W127" t="e">
        <f>NA()</f>
        <v>#N/A</v>
      </c>
      <c r="X127" t="e">
        <f>NA()</f>
        <v>#N/A</v>
      </c>
      <c r="Y127">
        <v>1953</v>
      </c>
      <c r="Z127">
        <v>10.222200000000001</v>
      </c>
      <c r="AA127">
        <v>9.6294039999999992</v>
      </c>
      <c r="AB127" t="e">
        <f>NA()</f>
        <v>#N/A</v>
      </c>
      <c r="AC127" t="e">
        <f>NA()</f>
        <v>#N/A</v>
      </c>
      <c r="AD127" t="e">
        <f>NA()</f>
        <v>#N/A</v>
      </c>
      <c r="AE127" t="e">
        <f>NA()</f>
        <v>#N/A</v>
      </c>
      <c r="AF127" t="e">
        <f>NA()</f>
        <v>#N/A</v>
      </c>
      <c r="AG127" t="e">
        <f>NA()</f>
        <v>#N/A</v>
      </c>
      <c r="AH127" t="e">
        <f>NA()</f>
        <v>#N/A</v>
      </c>
      <c r="AI127" t="e">
        <f>NA()</f>
        <v>#N/A</v>
      </c>
      <c r="AJ127" t="e">
        <f>NA()</f>
        <v>#N/A</v>
      </c>
      <c r="AK127" t="e">
        <f>NA()</f>
        <v>#N/A</v>
      </c>
      <c r="AL127" t="e">
        <f>NA()</f>
        <v>#N/A</v>
      </c>
      <c r="AM127" t="e">
        <f>NA()</f>
        <v>#N/A</v>
      </c>
      <c r="AN127">
        <v>1993</v>
      </c>
      <c r="AO127">
        <v>14.28551</v>
      </c>
      <c r="AP127">
        <v>14.38916</v>
      </c>
      <c r="AQ127" t="e">
        <f>NA()</f>
        <v>#N/A</v>
      </c>
      <c r="AR127" t="e">
        <f>NA()</f>
        <v>#N/A</v>
      </c>
      <c r="AS127" t="e">
        <f>NA()</f>
        <v>#N/A</v>
      </c>
    </row>
    <row r="128" spans="1:45">
      <c r="A128" t="e">
        <f>NA()</f>
        <v>#N/A</v>
      </c>
      <c r="B128" t="e">
        <f>NA()</f>
        <v>#N/A</v>
      </c>
      <c r="C128" t="e">
        <f>NA()</f>
        <v>#N/A</v>
      </c>
      <c r="D128" t="e">
        <f>NA()</f>
        <v>#N/A</v>
      </c>
      <c r="E128" t="e">
        <f>NA()</f>
        <v>#N/A</v>
      </c>
      <c r="F128" t="e">
        <f>NA()</f>
        <v>#N/A</v>
      </c>
      <c r="G128" t="e">
        <f>NA()</f>
        <v>#N/A</v>
      </c>
      <c r="H128" t="e">
        <f>NA()</f>
        <v>#N/A</v>
      </c>
      <c r="I128" t="e">
        <f>NA()</f>
        <v>#N/A</v>
      </c>
      <c r="J128" t="e">
        <f>NA()</f>
        <v>#N/A</v>
      </c>
      <c r="K128" t="e">
        <f>NA()</f>
        <v>#N/A</v>
      </c>
      <c r="L128" t="e">
        <f>NA()</f>
        <v>#N/A</v>
      </c>
      <c r="M128" t="e">
        <f>NA()</f>
        <v>#N/A</v>
      </c>
      <c r="N128" t="e">
        <f>NA()</f>
        <v>#N/A</v>
      </c>
      <c r="O128" t="e">
        <f>NA()</f>
        <v>#N/A</v>
      </c>
      <c r="P128" t="e">
        <f>NA()</f>
        <v>#N/A</v>
      </c>
      <c r="Q128" t="e">
        <f>NA()</f>
        <v>#N/A</v>
      </c>
      <c r="R128" t="e">
        <f>NA()</f>
        <v>#N/A</v>
      </c>
      <c r="S128" t="e">
        <f>NA()</f>
        <v>#N/A</v>
      </c>
      <c r="T128" t="e">
        <f>NA()</f>
        <v>#N/A</v>
      </c>
      <c r="U128" t="e">
        <f>NA()</f>
        <v>#N/A</v>
      </c>
      <c r="V128" t="e">
        <f>NA()</f>
        <v>#N/A</v>
      </c>
      <c r="W128" t="e">
        <f>NA()</f>
        <v>#N/A</v>
      </c>
      <c r="X128" t="e">
        <f>NA()</f>
        <v>#N/A</v>
      </c>
      <c r="Y128">
        <v>1954</v>
      </c>
      <c r="Z128">
        <v>10.22669</v>
      </c>
      <c r="AA128">
        <v>9.7134699999999992</v>
      </c>
      <c r="AB128" t="e">
        <f>NA()</f>
        <v>#N/A</v>
      </c>
      <c r="AC128" t="e">
        <f>NA()</f>
        <v>#N/A</v>
      </c>
      <c r="AD128" t="e">
        <f>NA()</f>
        <v>#N/A</v>
      </c>
      <c r="AE128" t="e">
        <f>NA()</f>
        <v>#N/A</v>
      </c>
      <c r="AF128" t="e">
        <f>NA()</f>
        <v>#N/A</v>
      </c>
      <c r="AG128" t="e">
        <f>NA()</f>
        <v>#N/A</v>
      </c>
      <c r="AH128" t="e">
        <f>NA()</f>
        <v>#N/A</v>
      </c>
      <c r="AI128" t="e">
        <f>NA()</f>
        <v>#N/A</v>
      </c>
      <c r="AJ128" t="e">
        <f>NA()</f>
        <v>#N/A</v>
      </c>
      <c r="AK128" t="e">
        <f>NA()</f>
        <v>#N/A</v>
      </c>
      <c r="AL128" t="e">
        <f>NA()</f>
        <v>#N/A</v>
      </c>
      <c r="AM128" t="e">
        <f>NA()</f>
        <v>#N/A</v>
      </c>
      <c r="AN128" t="e">
        <f>NA()</f>
        <v>#N/A</v>
      </c>
      <c r="AO128" t="e">
        <f>NA()</f>
        <v>#N/A</v>
      </c>
      <c r="AP128" t="e">
        <f>NA()</f>
        <v>#N/A</v>
      </c>
      <c r="AQ128" t="e">
        <f>NA()</f>
        <v>#N/A</v>
      </c>
      <c r="AR128" t="e">
        <f>NA()</f>
        <v>#N/A</v>
      </c>
      <c r="AS128" t="e">
        <f>NA()</f>
        <v>#N/A</v>
      </c>
    </row>
    <row r="129" spans="1:45">
      <c r="A129" t="e">
        <f>NA()</f>
        <v>#N/A</v>
      </c>
      <c r="B129" t="e">
        <f>NA()</f>
        <v>#N/A</v>
      </c>
      <c r="C129" t="e">
        <f>NA()</f>
        <v>#N/A</v>
      </c>
      <c r="D129" t="e">
        <f>NA()</f>
        <v>#N/A</v>
      </c>
      <c r="E129" t="e">
        <f>NA()</f>
        <v>#N/A</v>
      </c>
      <c r="F129" t="e">
        <f>NA()</f>
        <v>#N/A</v>
      </c>
      <c r="G129" t="e">
        <f>NA()</f>
        <v>#N/A</v>
      </c>
      <c r="H129" t="e">
        <f>NA()</f>
        <v>#N/A</v>
      </c>
      <c r="I129" t="e">
        <f>NA()</f>
        <v>#N/A</v>
      </c>
      <c r="J129" t="e">
        <f>NA()</f>
        <v>#N/A</v>
      </c>
      <c r="K129" t="e">
        <f>NA()</f>
        <v>#N/A</v>
      </c>
      <c r="L129" t="e">
        <f>NA()</f>
        <v>#N/A</v>
      </c>
      <c r="M129" t="e">
        <f>NA()</f>
        <v>#N/A</v>
      </c>
      <c r="N129" t="e">
        <f>NA()</f>
        <v>#N/A</v>
      </c>
      <c r="O129" t="e">
        <f>NA()</f>
        <v>#N/A</v>
      </c>
      <c r="P129" t="e">
        <f>NA()</f>
        <v>#N/A</v>
      </c>
      <c r="Q129" t="e">
        <f>NA()</f>
        <v>#N/A</v>
      </c>
      <c r="R129" t="e">
        <f>NA()</f>
        <v>#N/A</v>
      </c>
      <c r="S129" t="e">
        <f>NA()</f>
        <v>#N/A</v>
      </c>
      <c r="T129" t="e">
        <f>NA()</f>
        <v>#N/A</v>
      </c>
      <c r="U129" t="e">
        <f>NA()</f>
        <v>#N/A</v>
      </c>
      <c r="V129" t="e">
        <f>NA()</f>
        <v>#N/A</v>
      </c>
      <c r="W129" t="e">
        <f>NA()</f>
        <v>#N/A</v>
      </c>
      <c r="X129" t="e">
        <f>NA()</f>
        <v>#N/A</v>
      </c>
      <c r="Y129">
        <v>1955</v>
      </c>
      <c r="Z129">
        <v>10.19586</v>
      </c>
      <c r="AA129">
        <v>9.6988710000000005</v>
      </c>
      <c r="AB129" t="e">
        <f>NA()</f>
        <v>#N/A</v>
      </c>
      <c r="AC129" t="e">
        <f>NA()</f>
        <v>#N/A</v>
      </c>
      <c r="AD129" t="e">
        <f>NA()</f>
        <v>#N/A</v>
      </c>
      <c r="AE129" t="e">
        <f>NA()</f>
        <v>#N/A</v>
      </c>
      <c r="AF129" t="e">
        <f>NA()</f>
        <v>#N/A</v>
      </c>
      <c r="AG129" t="e">
        <f>NA()</f>
        <v>#N/A</v>
      </c>
      <c r="AH129" t="e">
        <f>NA()</f>
        <v>#N/A</v>
      </c>
      <c r="AI129" t="e">
        <f>NA()</f>
        <v>#N/A</v>
      </c>
      <c r="AJ129" t="e">
        <f>NA()</f>
        <v>#N/A</v>
      </c>
      <c r="AK129" t="e">
        <f>NA()</f>
        <v>#N/A</v>
      </c>
      <c r="AL129" t="e">
        <f>NA()</f>
        <v>#N/A</v>
      </c>
      <c r="AM129" t="e">
        <f>NA()</f>
        <v>#N/A</v>
      </c>
      <c r="AN129" t="e">
        <f>NA()</f>
        <v>#N/A</v>
      </c>
      <c r="AO129" t="e">
        <f>NA()</f>
        <v>#N/A</v>
      </c>
      <c r="AP129" t="e">
        <f>NA()</f>
        <v>#N/A</v>
      </c>
      <c r="AQ129" t="e">
        <f>NA()</f>
        <v>#N/A</v>
      </c>
      <c r="AR129" t="e">
        <f>NA()</f>
        <v>#N/A</v>
      </c>
      <c r="AS129" t="e">
        <f>NA()</f>
        <v>#N/A</v>
      </c>
    </row>
    <row r="130" spans="1:45">
      <c r="A130" t="e">
        <f>NA()</f>
        <v>#N/A</v>
      </c>
      <c r="B130" t="e">
        <f>NA()</f>
        <v>#N/A</v>
      </c>
      <c r="C130" t="e">
        <f>NA()</f>
        <v>#N/A</v>
      </c>
      <c r="D130" t="e">
        <f>NA()</f>
        <v>#N/A</v>
      </c>
      <c r="E130" t="e">
        <f>NA()</f>
        <v>#N/A</v>
      </c>
      <c r="F130" t="e">
        <f>NA()</f>
        <v>#N/A</v>
      </c>
      <c r="G130" t="e">
        <f>NA()</f>
        <v>#N/A</v>
      </c>
      <c r="H130" t="e">
        <f>NA()</f>
        <v>#N/A</v>
      </c>
      <c r="I130" t="e">
        <f>NA()</f>
        <v>#N/A</v>
      </c>
      <c r="J130" t="e">
        <f>NA()</f>
        <v>#N/A</v>
      </c>
      <c r="K130" t="e">
        <f>NA()</f>
        <v>#N/A</v>
      </c>
      <c r="L130" t="e">
        <f>NA()</f>
        <v>#N/A</v>
      </c>
      <c r="M130" t="e">
        <f>NA()</f>
        <v>#N/A</v>
      </c>
      <c r="N130" t="e">
        <f>NA()</f>
        <v>#N/A</v>
      </c>
      <c r="O130" t="e">
        <f>NA()</f>
        <v>#N/A</v>
      </c>
      <c r="P130" t="e">
        <f>NA()</f>
        <v>#N/A</v>
      </c>
      <c r="Q130" t="e">
        <f>NA()</f>
        <v>#N/A</v>
      </c>
      <c r="R130" t="e">
        <f>NA()</f>
        <v>#N/A</v>
      </c>
      <c r="S130" t="e">
        <f>NA()</f>
        <v>#N/A</v>
      </c>
      <c r="T130" t="e">
        <f>NA()</f>
        <v>#N/A</v>
      </c>
      <c r="U130" t="e">
        <f>NA()</f>
        <v>#N/A</v>
      </c>
      <c r="V130" t="e">
        <f>NA()</f>
        <v>#N/A</v>
      </c>
      <c r="W130" t="e">
        <f>NA()</f>
        <v>#N/A</v>
      </c>
      <c r="X130" t="e">
        <f>NA()</f>
        <v>#N/A</v>
      </c>
      <c r="Y130">
        <v>1956</v>
      </c>
      <c r="Z130">
        <v>10.175459999999999</v>
      </c>
      <c r="AA130">
        <v>9.7489840000000001</v>
      </c>
      <c r="AB130" t="e">
        <f>NA()</f>
        <v>#N/A</v>
      </c>
      <c r="AC130" t="e">
        <f>NA()</f>
        <v>#N/A</v>
      </c>
      <c r="AD130" t="e">
        <f>NA()</f>
        <v>#N/A</v>
      </c>
      <c r="AE130" t="e">
        <f>NA()</f>
        <v>#N/A</v>
      </c>
      <c r="AF130" t="e">
        <f>NA()</f>
        <v>#N/A</v>
      </c>
      <c r="AG130" t="e">
        <f>NA()</f>
        <v>#N/A</v>
      </c>
      <c r="AH130" t="e">
        <f>NA()</f>
        <v>#N/A</v>
      </c>
      <c r="AI130" t="e">
        <f>NA()</f>
        <v>#N/A</v>
      </c>
      <c r="AJ130" t="e">
        <f>NA()</f>
        <v>#N/A</v>
      </c>
      <c r="AK130" t="e">
        <f>NA()</f>
        <v>#N/A</v>
      </c>
      <c r="AL130" t="e">
        <f>NA()</f>
        <v>#N/A</v>
      </c>
      <c r="AM130" t="e">
        <f>NA()</f>
        <v>#N/A</v>
      </c>
      <c r="AN130" t="e">
        <f>NA()</f>
        <v>#N/A</v>
      </c>
      <c r="AO130" t="e">
        <f>NA()</f>
        <v>#N/A</v>
      </c>
      <c r="AP130" t="e">
        <f>NA()</f>
        <v>#N/A</v>
      </c>
      <c r="AQ130" t="e">
        <f>NA()</f>
        <v>#N/A</v>
      </c>
      <c r="AR130" t="e">
        <f>NA()</f>
        <v>#N/A</v>
      </c>
      <c r="AS130" t="e">
        <f>NA()</f>
        <v>#N/A</v>
      </c>
    </row>
    <row r="131" spans="1:45">
      <c r="A131" t="e">
        <f>NA()</f>
        <v>#N/A</v>
      </c>
      <c r="B131" t="e">
        <f>NA()</f>
        <v>#N/A</v>
      </c>
      <c r="C131" t="e">
        <f>NA()</f>
        <v>#N/A</v>
      </c>
      <c r="D131" t="e">
        <f>NA()</f>
        <v>#N/A</v>
      </c>
      <c r="E131" t="e">
        <f>NA()</f>
        <v>#N/A</v>
      </c>
      <c r="F131" t="e">
        <f>NA()</f>
        <v>#N/A</v>
      </c>
      <c r="G131" t="e">
        <f>NA()</f>
        <v>#N/A</v>
      </c>
      <c r="H131" t="e">
        <f>NA()</f>
        <v>#N/A</v>
      </c>
      <c r="I131" t="e">
        <f>NA()</f>
        <v>#N/A</v>
      </c>
      <c r="J131" t="e">
        <f>NA()</f>
        <v>#N/A</v>
      </c>
      <c r="K131" t="e">
        <f>NA()</f>
        <v>#N/A</v>
      </c>
      <c r="L131" t="e">
        <f>NA()</f>
        <v>#N/A</v>
      </c>
      <c r="M131" t="e">
        <f>NA()</f>
        <v>#N/A</v>
      </c>
      <c r="N131" t="e">
        <f>NA()</f>
        <v>#N/A</v>
      </c>
      <c r="O131" t="e">
        <f>NA()</f>
        <v>#N/A</v>
      </c>
      <c r="P131" t="e">
        <f>NA()</f>
        <v>#N/A</v>
      </c>
      <c r="Q131" t="e">
        <f>NA()</f>
        <v>#N/A</v>
      </c>
      <c r="R131" t="e">
        <f>NA()</f>
        <v>#N/A</v>
      </c>
      <c r="S131" t="e">
        <f>NA()</f>
        <v>#N/A</v>
      </c>
      <c r="T131" t="e">
        <f>NA()</f>
        <v>#N/A</v>
      </c>
      <c r="U131" t="e">
        <f>NA()</f>
        <v>#N/A</v>
      </c>
      <c r="V131" t="e">
        <f>NA()</f>
        <v>#N/A</v>
      </c>
      <c r="W131" t="e">
        <f>NA()</f>
        <v>#N/A</v>
      </c>
      <c r="X131" t="e">
        <f>NA()</f>
        <v>#N/A</v>
      </c>
      <c r="Y131">
        <v>1957</v>
      </c>
      <c r="Z131">
        <v>10.157550000000001</v>
      </c>
      <c r="AA131">
        <v>9.800789</v>
      </c>
      <c r="AB131" t="e">
        <f>NA()</f>
        <v>#N/A</v>
      </c>
      <c r="AC131" t="e">
        <f>NA()</f>
        <v>#N/A</v>
      </c>
      <c r="AD131" t="e">
        <f>NA()</f>
        <v>#N/A</v>
      </c>
      <c r="AE131" t="e">
        <f>NA()</f>
        <v>#N/A</v>
      </c>
      <c r="AF131" t="e">
        <f>NA()</f>
        <v>#N/A</v>
      </c>
      <c r="AG131" t="e">
        <f>NA()</f>
        <v>#N/A</v>
      </c>
      <c r="AH131" t="e">
        <f>NA()</f>
        <v>#N/A</v>
      </c>
      <c r="AI131" t="e">
        <f>NA()</f>
        <v>#N/A</v>
      </c>
      <c r="AJ131" t="e">
        <f>NA()</f>
        <v>#N/A</v>
      </c>
      <c r="AK131" t="e">
        <f>NA()</f>
        <v>#N/A</v>
      </c>
      <c r="AL131" t="e">
        <f>NA()</f>
        <v>#N/A</v>
      </c>
      <c r="AM131" t="e">
        <f>NA()</f>
        <v>#N/A</v>
      </c>
      <c r="AN131" t="e">
        <f>NA()</f>
        <v>#N/A</v>
      </c>
      <c r="AO131" t="e">
        <f>NA()</f>
        <v>#N/A</v>
      </c>
      <c r="AP131" t="e">
        <f>NA()</f>
        <v>#N/A</v>
      </c>
      <c r="AQ131" t="e">
        <f>NA()</f>
        <v>#N/A</v>
      </c>
      <c r="AR131" t="e">
        <f>NA()</f>
        <v>#N/A</v>
      </c>
      <c r="AS131" t="e">
        <f>NA()</f>
        <v>#N/A</v>
      </c>
    </row>
    <row r="132" spans="1:45">
      <c r="A132" t="e">
        <f>NA()</f>
        <v>#N/A</v>
      </c>
      <c r="B132" t="e">
        <f>NA()</f>
        <v>#N/A</v>
      </c>
      <c r="C132" t="e">
        <f>NA()</f>
        <v>#N/A</v>
      </c>
      <c r="D132" t="e">
        <f>NA()</f>
        <v>#N/A</v>
      </c>
      <c r="E132" t="e">
        <f>NA()</f>
        <v>#N/A</v>
      </c>
      <c r="F132" t="e">
        <f>NA()</f>
        <v>#N/A</v>
      </c>
      <c r="G132" t="e">
        <f>NA()</f>
        <v>#N/A</v>
      </c>
      <c r="H132" t="e">
        <f>NA()</f>
        <v>#N/A</v>
      </c>
      <c r="I132" t="e">
        <f>NA()</f>
        <v>#N/A</v>
      </c>
      <c r="J132" t="e">
        <f>NA()</f>
        <v>#N/A</v>
      </c>
      <c r="K132" t="e">
        <f>NA()</f>
        <v>#N/A</v>
      </c>
      <c r="L132" t="e">
        <f>NA()</f>
        <v>#N/A</v>
      </c>
      <c r="M132" t="e">
        <f>NA()</f>
        <v>#N/A</v>
      </c>
      <c r="N132" t="e">
        <f>NA()</f>
        <v>#N/A</v>
      </c>
      <c r="O132" t="e">
        <f>NA()</f>
        <v>#N/A</v>
      </c>
      <c r="P132" t="e">
        <f>NA()</f>
        <v>#N/A</v>
      </c>
      <c r="Q132" t="e">
        <f>NA()</f>
        <v>#N/A</v>
      </c>
      <c r="R132" t="e">
        <f>NA()</f>
        <v>#N/A</v>
      </c>
      <c r="S132" t="e">
        <f>NA()</f>
        <v>#N/A</v>
      </c>
      <c r="T132" t="e">
        <f>NA()</f>
        <v>#N/A</v>
      </c>
      <c r="U132" t="e">
        <f>NA()</f>
        <v>#N/A</v>
      </c>
      <c r="V132" t="e">
        <f>NA()</f>
        <v>#N/A</v>
      </c>
      <c r="W132" t="e">
        <f>NA()</f>
        <v>#N/A</v>
      </c>
      <c r="X132" t="e">
        <f>NA()</f>
        <v>#N/A</v>
      </c>
      <c r="Y132">
        <v>1958</v>
      </c>
      <c r="Z132">
        <v>10.11046</v>
      </c>
      <c r="AA132">
        <v>9.8873180000000005</v>
      </c>
      <c r="AB132" t="e">
        <f>NA()</f>
        <v>#N/A</v>
      </c>
      <c r="AC132" t="e">
        <f>NA()</f>
        <v>#N/A</v>
      </c>
      <c r="AD132" t="e">
        <f>NA()</f>
        <v>#N/A</v>
      </c>
      <c r="AE132" t="e">
        <f>NA()</f>
        <v>#N/A</v>
      </c>
      <c r="AF132" t="e">
        <f>NA()</f>
        <v>#N/A</v>
      </c>
      <c r="AG132" t="e">
        <f>NA()</f>
        <v>#N/A</v>
      </c>
      <c r="AH132" t="e">
        <f>NA()</f>
        <v>#N/A</v>
      </c>
      <c r="AI132" t="e">
        <f>NA()</f>
        <v>#N/A</v>
      </c>
      <c r="AJ132" t="e">
        <f>NA()</f>
        <v>#N/A</v>
      </c>
      <c r="AK132" t="e">
        <f>NA()</f>
        <v>#N/A</v>
      </c>
      <c r="AL132" t="e">
        <f>NA()</f>
        <v>#N/A</v>
      </c>
      <c r="AM132" t="e">
        <f>NA()</f>
        <v>#N/A</v>
      </c>
      <c r="AN132" t="e">
        <f>NA()</f>
        <v>#N/A</v>
      </c>
      <c r="AO132" t="e">
        <f>NA()</f>
        <v>#N/A</v>
      </c>
      <c r="AP132" t="e">
        <f>NA()</f>
        <v>#N/A</v>
      </c>
      <c r="AQ132" t="e">
        <f>NA()</f>
        <v>#N/A</v>
      </c>
      <c r="AR132" t="e">
        <f>NA()</f>
        <v>#N/A</v>
      </c>
      <c r="AS132" t="e">
        <f>NA()</f>
        <v>#N/A</v>
      </c>
    </row>
    <row r="133" spans="1:45">
      <c r="A133" t="e">
        <f>NA()</f>
        <v>#N/A</v>
      </c>
      <c r="B133" t="e">
        <f>NA()</f>
        <v>#N/A</v>
      </c>
      <c r="C133" t="e">
        <f>NA()</f>
        <v>#N/A</v>
      </c>
      <c r="D133" t="e">
        <f>NA()</f>
        <v>#N/A</v>
      </c>
      <c r="E133" t="e">
        <f>NA()</f>
        <v>#N/A</v>
      </c>
      <c r="F133" t="e">
        <f>NA()</f>
        <v>#N/A</v>
      </c>
      <c r="G133" t="e">
        <f>NA()</f>
        <v>#N/A</v>
      </c>
      <c r="H133" t="e">
        <f>NA()</f>
        <v>#N/A</v>
      </c>
      <c r="I133" t="e">
        <f>NA()</f>
        <v>#N/A</v>
      </c>
      <c r="J133" t="e">
        <f>NA()</f>
        <v>#N/A</v>
      </c>
      <c r="K133" t="e">
        <f>NA()</f>
        <v>#N/A</v>
      </c>
      <c r="L133" t="e">
        <f>NA()</f>
        <v>#N/A</v>
      </c>
      <c r="M133" t="e">
        <f>NA()</f>
        <v>#N/A</v>
      </c>
      <c r="N133" t="e">
        <f>NA()</f>
        <v>#N/A</v>
      </c>
      <c r="O133" t="e">
        <f>NA()</f>
        <v>#N/A</v>
      </c>
      <c r="P133" t="e">
        <f>NA()</f>
        <v>#N/A</v>
      </c>
      <c r="Q133" t="e">
        <f>NA()</f>
        <v>#N/A</v>
      </c>
      <c r="R133" t="e">
        <f>NA()</f>
        <v>#N/A</v>
      </c>
      <c r="S133" t="e">
        <f>NA()</f>
        <v>#N/A</v>
      </c>
      <c r="T133" t="e">
        <f>NA()</f>
        <v>#N/A</v>
      </c>
      <c r="U133" t="e">
        <f>NA()</f>
        <v>#N/A</v>
      </c>
      <c r="V133" t="e">
        <f>NA()</f>
        <v>#N/A</v>
      </c>
      <c r="W133" t="e">
        <f>NA()</f>
        <v>#N/A</v>
      </c>
      <c r="X133" t="e">
        <f>NA()</f>
        <v>#N/A</v>
      </c>
      <c r="Y133">
        <v>1959</v>
      </c>
      <c r="Z133">
        <v>10.099589999999999</v>
      </c>
      <c r="AA133">
        <v>9.8659350000000003</v>
      </c>
      <c r="AB133" t="e">
        <f>NA()</f>
        <v>#N/A</v>
      </c>
      <c r="AC133" t="e">
        <f>NA()</f>
        <v>#N/A</v>
      </c>
      <c r="AD133" t="e">
        <f>NA()</f>
        <v>#N/A</v>
      </c>
      <c r="AE133" t="e">
        <f>NA()</f>
        <v>#N/A</v>
      </c>
      <c r="AF133" t="e">
        <f>NA()</f>
        <v>#N/A</v>
      </c>
      <c r="AG133" t="e">
        <f>NA()</f>
        <v>#N/A</v>
      </c>
      <c r="AH133" t="e">
        <f>NA()</f>
        <v>#N/A</v>
      </c>
      <c r="AI133" t="e">
        <f>NA()</f>
        <v>#N/A</v>
      </c>
      <c r="AJ133" t="e">
        <f>NA()</f>
        <v>#N/A</v>
      </c>
      <c r="AK133" t="e">
        <f>NA()</f>
        <v>#N/A</v>
      </c>
      <c r="AL133" t="e">
        <f>NA()</f>
        <v>#N/A</v>
      </c>
      <c r="AM133" t="e">
        <f>NA()</f>
        <v>#N/A</v>
      </c>
      <c r="AN133" t="e">
        <f>NA()</f>
        <v>#N/A</v>
      </c>
      <c r="AO133" t="e">
        <f>NA()</f>
        <v>#N/A</v>
      </c>
      <c r="AP133" t="e">
        <f>NA()</f>
        <v>#N/A</v>
      </c>
      <c r="AQ133" t="e">
        <f>NA()</f>
        <v>#N/A</v>
      </c>
      <c r="AR133" t="e">
        <f>NA()</f>
        <v>#N/A</v>
      </c>
      <c r="AS133" t="e">
        <f>NA()</f>
        <v>#N/A</v>
      </c>
    </row>
    <row r="134" spans="1:45">
      <c r="A134" t="e">
        <f>NA()</f>
        <v>#N/A</v>
      </c>
      <c r="B134" t="e">
        <f>NA()</f>
        <v>#N/A</v>
      </c>
      <c r="C134" t="e">
        <f>NA()</f>
        <v>#N/A</v>
      </c>
      <c r="D134" t="e">
        <f>NA()</f>
        <v>#N/A</v>
      </c>
      <c r="E134" t="e">
        <f>NA()</f>
        <v>#N/A</v>
      </c>
      <c r="F134" t="e">
        <f>NA()</f>
        <v>#N/A</v>
      </c>
      <c r="G134" t="e">
        <f>NA()</f>
        <v>#N/A</v>
      </c>
      <c r="H134" t="e">
        <f>NA()</f>
        <v>#N/A</v>
      </c>
      <c r="I134" t="e">
        <f>NA()</f>
        <v>#N/A</v>
      </c>
      <c r="J134" t="e">
        <f>NA()</f>
        <v>#N/A</v>
      </c>
      <c r="K134" t="e">
        <f>NA()</f>
        <v>#N/A</v>
      </c>
      <c r="L134" t="e">
        <f>NA()</f>
        <v>#N/A</v>
      </c>
      <c r="M134" t="e">
        <f>NA()</f>
        <v>#N/A</v>
      </c>
      <c r="N134" t="e">
        <f>NA()</f>
        <v>#N/A</v>
      </c>
      <c r="O134" t="e">
        <f>NA()</f>
        <v>#N/A</v>
      </c>
      <c r="P134" t="e">
        <f>NA()</f>
        <v>#N/A</v>
      </c>
      <c r="Q134" t="e">
        <f>NA()</f>
        <v>#N/A</v>
      </c>
      <c r="R134" t="e">
        <f>NA()</f>
        <v>#N/A</v>
      </c>
      <c r="S134" t="e">
        <f>NA()</f>
        <v>#N/A</v>
      </c>
      <c r="T134" t="e">
        <f>NA()</f>
        <v>#N/A</v>
      </c>
      <c r="U134" t="e">
        <f>NA()</f>
        <v>#N/A</v>
      </c>
      <c r="V134" t="e">
        <f>NA()</f>
        <v>#N/A</v>
      </c>
      <c r="W134" t="e">
        <f>NA()</f>
        <v>#N/A</v>
      </c>
      <c r="X134" t="e">
        <f>NA()</f>
        <v>#N/A</v>
      </c>
      <c r="Y134">
        <v>1960</v>
      </c>
      <c r="Z134">
        <v>10.06701</v>
      </c>
      <c r="AA134">
        <v>9.9045509999999997</v>
      </c>
      <c r="AB134" t="e">
        <f>NA()</f>
        <v>#N/A</v>
      </c>
      <c r="AC134" t="e">
        <f>NA()</f>
        <v>#N/A</v>
      </c>
      <c r="AD134" t="e">
        <f>NA()</f>
        <v>#N/A</v>
      </c>
      <c r="AE134" t="e">
        <f>NA()</f>
        <v>#N/A</v>
      </c>
      <c r="AF134" t="e">
        <f>NA()</f>
        <v>#N/A</v>
      </c>
      <c r="AG134" t="e">
        <f>NA()</f>
        <v>#N/A</v>
      </c>
      <c r="AH134" t="e">
        <f>NA()</f>
        <v>#N/A</v>
      </c>
      <c r="AI134" t="e">
        <f>NA()</f>
        <v>#N/A</v>
      </c>
      <c r="AJ134" t="e">
        <f>NA()</f>
        <v>#N/A</v>
      </c>
      <c r="AK134" t="e">
        <f>NA()</f>
        <v>#N/A</v>
      </c>
      <c r="AL134" t="e">
        <f>NA()</f>
        <v>#N/A</v>
      </c>
      <c r="AM134" t="e">
        <f>NA()</f>
        <v>#N/A</v>
      </c>
      <c r="AN134" t="e">
        <f>NA()</f>
        <v>#N/A</v>
      </c>
      <c r="AO134" t="e">
        <f>NA()</f>
        <v>#N/A</v>
      </c>
      <c r="AP134" t="e">
        <f>NA()</f>
        <v>#N/A</v>
      </c>
      <c r="AQ134" t="e">
        <f>NA()</f>
        <v>#N/A</v>
      </c>
      <c r="AR134" t="e">
        <f>NA()</f>
        <v>#N/A</v>
      </c>
      <c r="AS134" t="e">
        <f>NA()</f>
        <v>#N/A</v>
      </c>
    </row>
    <row r="135" spans="1:45">
      <c r="A135" t="e">
        <f>NA()</f>
        <v>#N/A</v>
      </c>
      <c r="B135" t="e">
        <f>NA()</f>
        <v>#N/A</v>
      </c>
      <c r="C135" t="e">
        <f>NA()</f>
        <v>#N/A</v>
      </c>
      <c r="D135" t="e">
        <f>NA()</f>
        <v>#N/A</v>
      </c>
      <c r="E135" t="e">
        <f>NA()</f>
        <v>#N/A</v>
      </c>
      <c r="F135" t="e">
        <f>NA()</f>
        <v>#N/A</v>
      </c>
      <c r="G135" t="e">
        <f>NA()</f>
        <v>#N/A</v>
      </c>
      <c r="H135" t="e">
        <f>NA()</f>
        <v>#N/A</v>
      </c>
      <c r="I135" t="e">
        <f>NA()</f>
        <v>#N/A</v>
      </c>
      <c r="J135" t="e">
        <f>NA()</f>
        <v>#N/A</v>
      </c>
      <c r="K135" t="e">
        <f>NA()</f>
        <v>#N/A</v>
      </c>
      <c r="L135" t="e">
        <f>NA()</f>
        <v>#N/A</v>
      </c>
      <c r="M135" t="e">
        <f>NA()</f>
        <v>#N/A</v>
      </c>
      <c r="N135" t="e">
        <f>NA()</f>
        <v>#N/A</v>
      </c>
      <c r="O135" t="e">
        <f>NA()</f>
        <v>#N/A</v>
      </c>
      <c r="P135" t="e">
        <f>NA()</f>
        <v>#N/A</v>
      </c>
      <c r="Q135" t="e">
        <f>NA()</f>
        <v>#N/A</v>
      </c>
      <c r="R135" t="e">
        <f>NA()</f>
        <v>#N/A</v>
      </c>
      <c r="S135" t="e">
        <f>NA()</f>
        <v>#N/A</v>
      </c>
      <c r="T135" t="e">
        <f>NA()</f>
        <v>#N/A</v>
      </c>
      <c r="U135" t="e">
        <f>NA()</f>
        <v>#N/A</v>
      </c>
      <c r="V135" t="e">
        <f>NA()</f>
        <v>#N/A</v>
      </c>
      <c r="W135" t="e">
        <f>NA()</f>
        <v>#N/A</v>
      </c>
      <c r="X135" t="e">
        <f>NA()</f>
        <v>#N/A</v>
      </c>
      <c r="Y135">
        <v>1961</v>
      </c>
      <c r="Z135">
        <v>9.9605759999999997</v>
      </c>
      <c r="AA135">
        <v>9.9468359999999993</v>
      </c>
      <c r="AB135" t="e">
        <f>NA()</f>
        <v>#N/A</v>
      </c>
      <c r="AC135" t="e">
        <f>NA()</f>
        <v>#N/A</v>
      </c>
      <c r="AD135" t="e">
        <f>NA()</f>
        <v>#N/A</v>
      </c>
      <c r="AE135" t="e">
        <f>NA()</f>
        <v>#N/A</v>
      </c>
      <c r="AF135" t="e">
        <f>NA()</f>
        <v>#N/A</v>
      </c>
      <c r="AG135" t="e">
        <f>NA()</f>
        <v>#N/A</v>
      </c>
      <c r="AH135" t="e">
        <f>NA()</f>
        <v>#N/A</v>
      </c>
      <c r="AI135" t="e">
        <f>NA()</f>
        <v>#N/A</v>
      </c>
      <c r="AJ135" t="e">
        <f>NA()</f>
        <v>#N/A</v>
      </c>
      <c r="AK135" t="e">
        <f>NA()</f>
        <v>#N/A</v>
      </c>
      <c r="AL135" t="e">
        <f>NA()</f>
        <v>#N/A</v>
      </c>
      <c r="AM135" t="e">
        <f>NA()</f>
        <v>#N/A</v>
      </c>
      <c r="AN135" t="e">
        <f>NA()</f>
        <v>#N/A</v>
      </c>
      <c r="AO135" t="e">
        <f>NA()</f>
        <v>#N/A</v>
      </c>
      <c r="AP135" t="e">
        <f>NA()</f>
        <v>#N/A</v>
      </c>
      <c r="AQ135" t="e">
        <f>NA()</f>
        <v>#N/A</v>
      </c>
      <c r="AR135" t="e">
        <f>NA()</f>
        <v>#N/A</v>
      </c>
      <c r="AS135" t="e">
        <f>NA()</f>
        <v>#N/A</v>
      </c>
    </row>
    <row r="136" spans="1:45">
      <c r="A136" t="e">
        <f>NA()</f>
        <v>#N/A</v>
      </c>
      <c r="B136" t="e">
        <f>NA()</f>
        <v>#N/A</v>
      </c>
      <c r="C136" t="e">
        <f>NA()</f>
        <v>#N/A</v>
      </c>
      <c r="D136" t="e">
        <f>NA()</f>
        <v>#N/A</v>
      </c>
      <c r="E136" t="e">
        <f>NA()</f>
        <v>#N/A</v>
      </c>
      <c r="F136" t="e">
        <f>NA()</f>
        <v>#N/A</v>
      </c>
      <c r="G136" t="e">
        <f>NA()</f>
        <v>#N/A</v>
      </c>
      <c r="H136" t="e">
        <f>NA()</f>
        <v>#N/A</v>
      </c>
      <c r="I136" t="e">
        <f>NA()</f>
        <v>#N/A</v>
      </c>
      <c r="J136" t="e">
        <f>NA()</f>
        <v>#N/A</v>
      </c>
      <c r="K136" t="e">
        <f>NA()</f>
        <v>#N/A</v>
      </c>
      <c r="L136" t="e">
        <f>NA()</f>
        <v>#N/A</v>
      </c>
      <c r="M136" t="e">
        <f>NA()</f>
        <v>#N/A</v>
      </c>
      <c r="N136" t="e">
        <f>NA()</f>
        <v>#N/A</v>
      </c>
      <c r="O136" t="e">
        <f>NA()</f>
        <v>#N/A</v>
      </c>
      <c r="P136" t="e">
        <f>NA()</f>
        <v>#N/A</v>
      </c>
      <c r="Q136" t="e">
        <f>NA()</f>
        <v>#N/A</v>
      </c>
      <c r="R136" t="e">
        <f>NA()</f>
        <v>#N/A</v>
      </c>
      <c r="S136" t="e">
        <f>NA()</f>
        <v>#N/A</v>
      </c>
      <c r="T136" t="e">
        <f>NA()</f>
        <v>#N/A</v>
      </c>
      <c r="U136" t="e">
        <f>NA()</f>
        <v>#N/A</v>
      </c>
      <c r="V136" t="e">
        <f>NA()</f>
        <v>#N/A</v>
      </c>
      <c r="W136" t="e">
        <f>NA()</f>
        <v>#N/A</v>
      </c>
      <c r="X136" t="e">
        <f>NA()</f>
        <v>#N/A</v>
      </c>
      <c r="Y136">
        <v>1962</v>
      </c>
      <c r="Z136">
        <v>9.9072800000000001</v>
      </c>
      <c r="AA136">
        <v>9.9393910000000005</v>
      </c>
      <c r="AB136" t="e">
        <f>NA()</f>
        <v>#N/A</v>
      </c>
      <c r="AC136" t="e">
        <f>NA()</f>
        <v>#N/A</v>
      </c>
      <c r="AD136" t="e">
        <f>NA()</f>
        <v>#N/A</v>
      </c>
      <c r="AE136" t="e">
        <f>NA()</f>
        <v>#N/A</v>
      </c>
      <c r="AF136" t="e">
        <f>NA()</f>
        <v>#N/A</v>
      </c>
      <c r="AG136" t="e">
        <f>NA()</f>
        <v>#N/A</v>
      </c>
      <c r="AH136" t="e">
        <f>NA()</f>
        <v>#N/A</v>
      </c>
      <c r="AI136" t="e">
        <f>NA()</f>
        <v>#N/A</v>
      </c>
      <c r="AJ136" t="e">
        <f>NA()</f>
        <v>#N/A</v>
      </c>
      <c r="AK136" t="e">
        <f>NA()</f>
        <v>#N/A</v>
      </c>
      <c r="AL136" t="e">
        <f>NA()</f>
        <v>#N/A</v>
      </c>
      <c r="AM136" t="e">
        <f>NA()</f>
        <v>#N/A</v>
      </c>
      <c r="AN136" t="e">
        <f>NA()</f>
        <v>#N/A</v>
      </c>
      <c r="AO136" t="e">
        <f>NA()</f>
        <v>#N/A</v>
      </c>
      <c r="AP136" t="e">
        <f>NA()</f>
        <v>#N/A</v>
      </c>
      <c r="AQ136" t="e">
        <f>NA()</f>
        <v>#N/A</v>
      </c>
      <c r="AR136" t="e">
        <f>NA()</f>
        <v>#N/A</v>
      </c>
      <c r="AS136" t="e">
        <f>NA()</f>
        <v>#N/A</v>
      </c>
    </row>
    <row r="137" spans="1:45">
      <c r="A137" t="e">
        <f>NA()</f>
        <v>#N/A</v>
      </c>
      <c r="B137" t="e">
        <f>NA()</f>
        <v>#N/A</v>
      </c>
      <c r="C137" t="e">
        <f>NA()</f>
        <v>#N/A</v>
      </c>
      <c r="D137" t="e">
        <f>NA()</f>
        <v>#N/A</v>
      </c>
      <c r="E137" t="e">
        <f>NA()</f>
        <v>#N/A</v>
      </c>
      <c r="F137" t="e">
        <f>NA()</f>
        <v>#N/A</v>
      </c>
      <c r="G137" t="e">
        <f>NA()</f>
        <v>#N/A</v>
      </c>
      <c r="H137" t="e">
        <f>NA()</f>
        <v>#N/A</v>
      </c>
      <c r="I137" t="e">
        <f>NA()</f>
        <v>#N/A</v>
      </c>
      <c r="J137" t="e">
        <f>NA()</f>
        <v>#N/A</v>
      </c>
      <c r="K137" t="e">
        <f>NA()</f>
        <v>#N/A</v>
      </c>
      <c r="L137" t="e">
        <f>NA()</f>
        <v>#N/A</v>
      </c>
      <c r="M137" t="e">
        <f>NA()</f>
        <v>#N/A</v>
      </c>
      <c r="N137" t="e">
        <f>NA()</f>
        <v>#N/A</v>
      </c>
      <c r="O137" t="e">
        <f>NA()</f>
        <v>#N/A</v>
      </c>
      <c r="P137" t="e">
        <f>NA()</f>
        <v>#N/A</v>
      </c>
      <c r="Q137" t="e">
        <f>NA()</f>
        <v>#N/A</v>
      </c>
      <c r="R137" t="e">
        <f>NA()</f>
        <v>#N/A</v>
      </c>
      <c r="S137" t="e">
        <f>NA()</f>
        <v>#N/A</v>
      </c>
      <c r="T137" t="e">
        <f>NA()</f>
        <v>#N/A</v>
      </c>
      <c r="U137" t="e">
        <f>NA()</f>
        <v>#N/A</v>
      </c>
      <c r="V137" t="e">
        <f>NA()</f>
        <v>#N/A</v>
      </c>
      <c r="W137" t="e">
        <f>NA()</f>
        <v>#N/A</v>
      </c>
      <c r="X137" t="e">
        <f>NA()</f>
        <v>#N/A</v>
      </c>
      <c r="Y137">
        <v>1963</v>
      </c>
      <c r="Z137">
        <v>9.9074299999999997</v>
      </c>
      <c r="AA137">
        <v>9.9510269999999998</v>
      </c>
      <c r="AB137" t="e">
        <f>NA()</f>
        <v>#N/A</v>
      </c>
      <c r="AC137" t="e">
        <f>NA()</f>
        <v>#N/A</v>
      </c>
      <c r="AD137" t="e">
        <f>NA()</f>
        <v>#N/A</v>
      </c>
      <c r="AE137" t="e">
        <f>NA()</f>
        <v>#N/A</v>
      </c>
      <c r="AF137" t="e">
        <f>NA()</f>
        <v>#N/A</v>
      </c>
      <c r="AG137" t="e">
        <f>NA()</f>
        <v>#N/A</v>
      </c>
      <c r="AH137" t="e">
        <f>NA()</f>
        <v>#N/A</v>
      </c>
      <c r="AI137" t="e">
        <f>NA()</f>
        <v>#N/A</v>
      </c>
      <c r="AJ137" t="e">
        <f>NA()</f>
        <v>#N/A</v>
      </c>
      <c r="AK137" t="e">
        <f>NA()</f>
        <v>#N/A</v>
      </c>
      <c r="AL137" t="e">
        <f>NA()</f>
        <v>#N/A</v>
      </c>
      <c r="AM137" t="e">
        <f>NA()</f>
        <v>#N/A</v>
      </c>
      <c r="AN137" t="e">
        <f>NA()</f>
        <v>#N/A</v>
      </c>
      <c r="AO137" t="e">
        <f>NA()</f>
        <v>#N/A</v>
      </c>
      <c r="AP137" t="e">
        <f>NA()</f>
        <v>#N/A</v>
      </c>
      <c r="AQ137" t="e">
        <f>NA()</f>
        <v>#N/A</v>
      </c>
      <c r="AR137" t="e">
        <f>NA()</f>
        <v>#N/A</v>
      </c>
      <c r="AS137" t="e">
        <f>NA()</f>
        <v>#N/A</v>
      </c>
    </row>
    <row r="138" spans="1:45">
      <c r="A138" t="e">
        <f>NA()</f>
        <v>#N/A</v>
      </c>
      <c r="B138" t="e">
        <f>NA()</f>
        <v>#N/A</v>
      </c>
      <c r="C138" t="e">
        <f>NA()</f>
        <v>#N/A</v>
      </c>
      <c r="D138" t="e">
        <f>NA()</f>
        <v>#N/A</v>
      </c>
      <c r="E138" t="e">
        <f>NA()</f>
        <v>#N/A</v>
      </c>
      <c r="F138" t="e">
        <f>NA()</f>
        <v>#N/A</v>
      </c>
      <c r="G138" t="e">
        <f>NA()</f>
        <v>#N/A</v>
      </c>
      <c r="H138" t="e">
        <f>NA()</f>
        <v>#N/A</v>
      </c>
      <c r="I138" t="e">
        <f>NA()</f>
        <v>#N/A</v>
      </c>
      <c r="J138" t="e">
        <f>NA()</f>
        <v>#N/A</v>
      </c>
      <c r="K138" t="e">
        <f>NA()</f>
        <v>#N/A</v>
      </c>
      <c r="L138" t="e">
        <f>NA()</f>
        <v>#N/A</v>
      </c>
      <c r="M138" t="e">
        <f>NA()</f>
        <v>#N/A</v>
      </c>
      <c r="N138" t="e">
        <f>NA()</f>
        <v>#N/A</v>
      </c>
      <c r="O138" t="e">
        <f>NA()</f>
        <v>#N/A</v>
      </c>
      <c r="P138" t="e">
        <f>NA()</f>
        <v>#N/A</v>
      </c>
      <c r="Q138" t="e">
        <f>NA()</f>
        <v>#N/A</v>
      </c>
      <c r="R138" t="e">
        <f>NA()</f>
        <v>#N/A</v>
      </c>
      <c r="S138" t="e">
        <f>NA()</f>
        <v>#N/A</v>
      </c>
      <c r="T138" t="e">
        <f>NA()</f>
        <v>#N/A</v>
      </c>
      <c r="U138" t="e">
        <f>NA()</f>
        <v>#N/A</v>
      </c>
      <c r="V138" t="e">
        <f>NA()</f>
        <v>#N/A</v>
      </c>
      <c r="W138" t="e">
        <f>NA()</f>
        <v>#N/A</v>
      </c>
      <c r="X138" t="e">
        <f>NA()</f>
        <v>#N/A</v>
      </c>
      <c r="Y138">
        <v>1964</v>
      </c>
      <c r="Z138">
        <v>9.9043869999999998</v>
      </c>
      <c r="AA138">
        <v>9.9430390000000006</v>
      </c>
      <c r="AB138" t="e">
        <f>NA()</f>
        <v>#N/A</v>
      </c>
      <c r="AC138" t="e">
        <f>NA()</f>
        <v>#N/A</v>
      </c>
      <c r="AD138" t="e">
        <f>NA()</f>
        <v>#N/A</v>
      </c>
      <c r="AE138" t="e">
        <f>NA()</f>
        <v>#N/A</v>
      </c>
      <c r="AF138" t="e">
        <f>NA()</f>
        <v>#N/A</v>
      </c>
      <c r="AG138" t="e">
        <f>NA()</f>
        <v>#N/A</v>
      </c>
      <c r="AH138" t="e">
        <f>NA()</f>
        <v>#N/A</v>
      </c>
      <c r="AI138" t="e">
        <f>NA()</f>
        <v>#N/A</v>
      </c>
      <c r="AJ138" t="e">
        <f>NA()</f>
        <v>#N/A</v>
      </c>
      <c r="AK138" t="e">
        <f>NA()</f>
        <v>#N/A</v>
      </c>
      <c r="AL138" t="e">
        <f>NA()</f>
        <v>#N/A</v>
      </c>
      <c r="AM138" t="e">
        <f>NA()</f>
        <v>#N/A</v>
      </c>
      <c r="AN138" t="e">
        <f>NA()</f>
        <v>#N/A</v>
      </c>
      <c r="AO138" t="e">
        <f>NA()</f>
        <v>#N/A</v>
      </c>
      <c r="AP138" t="e">
        <f>NA()</f>
        <v>#N/A</v>
      </c>
      <c r="AQ138" t="e">
        <f>NA()</f>
        <v>#N/A</v>
      </c>
      <c r="AR138" t="e">
        <f>NA()</f>
        <v>#N/A</v>
      </c>
      <c r="AS138" t="e">
        <f>NA()</f>
        <v>#N/A</v>
      </c>
    </row>
    <row r="139" spans="1:45">
      <c r="A139" t="e">
        <f>NA()</f>
        <v>#N/A</v>
      </c>
      <c r="B139" t="e">
        <f>NA()</f>
        <v>#N/A</v>
      </c>
      <c r="C139" t="e">
        <f>NA()</f>
        <v>#N/A</v>
      </c>
      <c r="D139" t="e">
        <f>NA()</f>
        <v>#N/A</v>
      </c>
      <c r="E139" t="e">
        <f>NA()</f>
        <v>#N/A</v>
      </c>
      <c r="F139" t="e">
        <f>NA()</f>
        <v>#N/A</v>
      </c>
      <c r="G139" t="e">
        <f>NA()</f>
        <v>#N/A</v>
      </c>
      <c r="H139" t="e">
        <f>NA()</f>
        <v>#N/A</v>
      </c>
      <c r="I139" t="e">
        <f>NA()</f>
        <v>#N/A</v>
      </c>
      <c r="J139" t="e">
        <f>NA()</f>
        <v>#N/A</v>
      </c>
      <c r="K139" t="e">
        <f>NA()</f>
        <v>#N/A</v>
      </c>
      <c r="L139" t="e">
        <f>NA()</f>
        <v>#N/A</v>
      </c>
      <c r="M139" t="e">
        <f>NA()</f>
        <v>#N/A</v>
      </c>
      <c r="N139" t="e">
        <f>NA()</f>
        <v>#N/A</v>
      </c>
      <c r="O139" t="e">
        <f>NA()</f>
        <v>#N/A</v>
      </c>
      <c r="P139" t="e">
        <f>NA()</f>
        <v>#N/A</v>
      </c>
      <c r="Q139" t="e">
        <f>NA()</f>
        <v>#N/A</v>
      </c>
      <c r="R139" t="e">
        <f>NA()</f>
        <v>#N/A</v>
      </c>
      <c r="S139" t="e">
        <f>NA()</f>
        <v>#N/A</v>
      </c>
      <c r="T139" t="e">
        <f>NA()</f>
        <v>#N/A</v>
      </c>
      <c r="U139" t="e">
        <f>NA()</f>
        <v>#N/A</v>
      </c>
      <c r="V139" t="e">
        <f>NA()</f>
        <v>#N/A</v>
      </c>
      <c r="W139" t="e">
        <f>NA()</f>
        <v>#N/A</v>
      </c>
      <c r="X139" t="e">
        <f>NA()</f>
        <v>#N/A</v>
      </c>
      <c r="Y139">
        <v>1965</v>
      </c>
      <c r="Z139">
        <v>9.8898949999999992</v>
      </c>
      <c r="AA139">
        <v>9.9244439999999994</v>
      </c>
      <c r="AB139" t="e">
        <f>NA()</f>
        <v>#N/A</v>
      </c>
      <c r="AC139" t="e">
        <f>NA()</f>
        <v>#N/A</v>
      </c>
      <c r="AD139" t="e">
        <f>NA()</f>
        <v>#N/A</v>
      </c>
      <c r="AE139" t="e">
        <f>NA()</f>
        <v>#N/A</v>
      </c>
      <c r="AF139" t="e">
        <f>NA()</f>
        <v>#N/A</v>
      </c>
      <c r="AG139" t="e">
        <f>NA()</f>
        <v>#N/A</v>
      </c>
      <c r="AH139" t="e">
        <f>NA()</f>
        <v>#N/A</v>
      </c>
      <c r="AI139" t="e">
        <f>NA()</f>
        <v>#N/A</v>
      </c>
      <c r="AJ139" t="e">
        <f>NA()</f>
        <v>#N/A</v>
      </c>
      <c r="AK139" t="e">
        <f>NA()</f>
        <v>#N/A</v>
      </c>
      <c r="AL139" t="e">
        <f>NA()</f>
        <v>#N/A</v>
      </c>
      <c r="AM139" t="e">
        <f>NA()</f>
        <v>#N/A</v>
      </c>
      <c r="AN139" t="e">
        <f>NA()</f>
        <v>#N/A</v>
      </c>
      <c r="AO139" t="e">
        <f>NA()</f>
        <v>#N/A</v>
      </c>
      <c r="AP139" t="e">
        <f>NA()</f>
        <v>#N/A</v>
      </c>
      <c r="AQ139" t="e">
        <f>NA()</f>
        <v>#N/A</v>
      </c>
      <c r="AR139" t="e">
        <f>NA()</f>
        <v>#N/A</v>
      </c>
      <c r="AS139" t="e">
        <f>NA()</f>
        <v>#N/A</v>
      </c>
    </row>
    <row r="140" spans="1:45">
      <c r="A140" t="e">
        <f>NA()</f>
        <v>#N/A</v>
      </c>
      <c r="B140" t="e">
        <f>NA()</f>
        <v>#N/A</v>
      </c>
      <c r="C140" t="e">
        <f>NA()</f>
        <v>#N/A</v>
      </c>
      <c r="D140" t="e">
        <f>NA()</f>
        <v>#N/A</v>
      </c>
      <c r="E140" t="e">
        <f>NA()</f>
        <v>#N/A</v>
      </c>
      <c r="F140" t="e">
        <f>NA()</f>
        <v>#N/A</v>
      </c>
      <c r="G140" t="e">
        <f>NA()</f>
        <v>#N/A</v>
      </c>
      <c r="H140" t="e">
        <f>NA()</f>
        <v>#N/A</v>
      </c>
      <c r="I140" t="e">
        <f>NA()</f>
        <v>#N/A</v>
      </c>
      <c r="J140" t="e">
        <f>NA()</f>
        <v>#N/A</v>
      </c>
      <c r="K140" t="e">
        <f>NA()</f>
        <v>#N/A</v>
      </c>
      <c r="L140" t="e">
        <f>NA()</f>
        <v>#N/A</v>
      </c>
      <c r="M140" t="e">
        <f>NA()</f>
        <v>#N/A</v>
      </c>
      <c r="N140" t="e">
        <f>NA()</f>
        <v>#N/A</v>
      </c>
      <c r="O140" t="e">
        <f>NA()</f>
        <v>#N/A</v>
      </c>
      <c r="P140" t="e">
        <f>NA()</f>
        <v>#N/A</v>
      </c>
      <c r="Q140" t="e">
        <f>NA()</f>
        <v>#N/A</v>
      </c>
      <c r="R140" t="e">
        <f>NA()</f>
        <v>#N/A</v>
      </c>
      <c r="S140" t="e">
        <f>NA()</f>
        <v>#N/A</v>
      </c>
      <c r="T140" t="e">
        <f>NA()</f>
        <v>#N/A</v>
      </c>
      <c r="U140" t="e">
        <f>NA()</f>
        <v>#N/A</v>
      </c>
      <c r="V140" t="e">
        <f>NA()</f>
        <v>#N/A</v>
      </c>
      <c r="W140" t="e">
        <f>NA()</f>
        <v>#N/A</v>
      </c>
      <c r="X140" t="e">
        <f>NA()</f>
        <v>#N/A</v>
      </c>
      <c r="Y140">
        <v>1966</v>
      </c>
      <c r="Z140" t="e">
        <f>NA()</f>
        <v>#N/A</v>
      </c>
      <c r="AA140" t="e">
        <f>NA()</f>
        <v>#N/A</v>
      </c>
      <c r="AB140" t="e">
        <f>NA()</f>
        <v>#N/A</v>
      </c>
      <c r="AC140" t="e">
        <f>NA()</f>
        <v>#N/A</v>
      </c>
      <c r="AD140" t="e">
        <f>NA()</f>
        <v>#N/A</v>
      </c>
      <c r="AE140" t="e">
        <f>NA()</f>
        <v>#N/A</v>
      </c>
      <c r="AF140" t="e">
        <f>NA()</f>
        <v>#N/A</v>
      </c>
      <c r="AG140" t="e">
        <f>NA()</f>
        <v>#N/A</v>
      </c>
      <c r="AH140" t="e">
        <f>NA()</f>
        <v>#N/A</v>
      </c>
      <c r="AI140" t="e">
        <f>NA()</f>
        <v>#N/A</v>
      </c>
      <c r="AJ140" t="e">
        <f>NA()</f>
        <v>#N/A</v>
      </c>
      <c r="AK140" t="e">
        <f>NA()</f>
        <v>#N/A</v>
      </c>
      <c r="AL140" t="e">
        <f>NA()</f>
        <v>#N/A</v>
      </c>
      <c r="AM140" t="e">
        <f>NA()</f>
        <v>#N/A</v>
      </c>
      <c r="AN140" t="e">
        <f>NA()</f>
        <v>#N/A</v>
      </c>
      <c r="AO140" t="e">
        <f>NA()</f>
        <v>#N/A</v>
      </c>
      <c r="AP140" t="e">
        <f>NA()</f>
        <v>#N/A</v>
      </c>
      <c r="AQ140" t="e">
        <f>NA()</f>
        <v>#N/A</v>
      </c>
      <c r="AR140" t="e">
        <f>NA()</f>
        <v>#N/A</v>
      </c>
      <c r="AS140" t="e">
        <f>NA()</f>
        <v>#N/A</v>
      </c>
    </row>
    <row r="141" spans="1:45">
      <c r="A141" t="e">
        <f>NA()</f>
        <v>#N/A</v>
      </c>
      <c r="B141" t="e">
        <f>NA()</f>
        <v>#N/A</v>
      </c>
      <c r="C141" t="e">
        <f>NA()</f>
        <v>#N/A</v>
      </c>
      <c r="D141" t="e">
        <f>NA()</f>
        <v>#N/A</v>
      </c>
      <c r="E141" t="e">
        <f>NA()</f>
        <v>#N/A</v>
      </c>
      <c r="F141" t="e">
        <f>NA()</f>
        <v>#N/A</v>
      </c>
      <c r="G141" t="e">
        <f>NA()</f>
        <v>#N/A</v>
      </c>
      <c r="H141" t="e">
        <f>NA()</f>
        <v>#N/A</v>
      </c>
      <c r="I141" t="e">
        <f>NA()</f>
        <v>#N/A</v>
      </c>
      <c r="J141" t="e">
        <f>NA()</f>
        <v>#N/A</v>
      </c>
      <c r="K141" t="e">
        <f>NA()</f>
        <v>#N/A</v>
      </c>
      <c r="L141" t="e">
        <f>NA()</f>
        <v>#N/A</v>
      </c>
      <c r="M141" t="e">
        <f>NA()</f>
        <v>#N/A</v>
      </c>
      <c r="N141" t="e">
        <f>NA()</f>
        <v>#N/A</v>
      </c>
      <c r="O141" t="e">
        <f>NA()</f>
        <v>#N/A</v>
      </c>
      <c r="P141" t="e">
        <f>NA()</f>
        <v>#N/A</v>
      </c>
      <c r="Q141" t="e">
        <f>NA()</f>
        <v>#N/A</v>
      </c>
      <c r="R141" t="e">
        <f>NA()</f>
        <v>#N/A</v>
      </c>
      <c r="S141" t="e">
        <f>NA()</f>
        <v>#N/A</v>
      </c>
      <c r="T141" t="e">
        <f>NA()</f>
        <v>#N/A</v>
      </c>
      <c r="U141" t="e">
        <f>NA()</f>
        <v>#N/A</v>
      </c>
      <c r="V141" t="e">
        <f>NA()</f>
        <v>#N/A</v>
      </c>
      <c r="W141" t="e">
        <f>NA()</f>
        <v>#N/A</v>
      </c>
      <c r="X141" t="e">
        <f>NA()</f>
        <v>#N/A</v>
      </c>
      <c r="Y141">
        <v>1967</v>
      </c>
      <c r="Z141" t="e">
        <f>NA()</f>
        <v>#N/A</v>
      </c>
      <c r="AA141" t="e">
        <f>NA()</f>
        <v>#N/A</v>
      </c>
      <c r="AB141" t="e">
        <f>NA()</f>
        <v>#N/A</v>
      </c>
      <c r="AC141" t="e">
        <f>NA()</f>
        <v>#N/A</v>
      </c>
      <c r="AD141" t="e">
        <f>NA()</f>
        <v>#N/A</v>
      </c>
      <c r="AE141" t="e">
        <f>NA()</f>
        <v>#N/A</v>
      </c>
      <c r="AF141" t="e">
        <f>NA()</f>
        <v>#N/A</v>
      </c>
      <c r="AG141" t="e">
        <f>NA()</f>
        <v>#N/A</v>
      </c>
      <c r="AH141" t="e">
        <f>NA()</f>
        <v>#N/A</v>
      </c>
      <c r="AI141" t="e">
        <f>NA()</f>
        <v>#N/A</v>
      </c>
      <c r="AJ141" t="e">
        <f>NA()</f>
        <v>#N/A</v>
      </c>
      <c r="AK141" t="e">
        <f>NA()</f>
        <v>#N/A</v>
      </c>
      <c r="AL141" t="e">
        <f>NA()</f>
        <v>#N/A</v>
      </c>
      <c r="AM141" t="e">
        <f>NA()</f>
        <v>#N/A</v>
      </c>
      <c r="AN141" t="e">
        <f>NA()</f>
        <v>#N/A</v>
      </c>
      <c r="AO141" t="e">
        <f>NA()</f>
        <v>#N/A</v>
      </c>
      <c r="AP141" t="e">
        <f>NA()</f>
        <v>#N/A</v>
      </c>
      <c r="AQ141" t="e">
        <f>NA()</f>
        <v>#N/A</v>
      </c>
      <c r="AR141" t="e">
        <f>NA()</f>
        <v>#N/A</v>
      </c>
      <c r="AS141" t="e">
        <f>NA()</f>
        <v>#N/A</v>
      </c>
    </row>
    <row r="142" spans="1:45">
      <c r="A142" t="e">
        <f>NA()</f>
        <v>#N/A</v>
      </c>
      <c r="B142" t="e">
        <f>NA()</f>
        <v>#N/A</v>
      </c>
      <c r="C142" t="e">
        <f>NA()</f>
        <v>#N/A</v>
      </c>
      <c r="D142" t="e">
        <f>NA()</f>
        <v>#N/A</v>
      </c>
      <c r="E142" t="e">
        <f>NA()</f>
        <v>#N/A</v>
      </c>
      <c r="F142" t="e">
        <f>NA()</f>
        <v>#N/A</v>
      </c>
      <c r="G142" t="e">
        <f>NA()</f>
        <v>#N/A</v>
      </c>
      <c r="H142" t="e">
        <f>NA()</f>
        <v>#N/A</v>
      </c>
      <c r="I142" t="e">
        <f>NA()</f>
        <v>#N/A</v>
      </c>
      <c r="J142" t="e">
        <f>NA()</f>
        <v>#N/A</v>
      </c>
      <c r="K142" t="e">
        <f>NA()</f>
        <v>#N/A</v>
      </c>
      <c r="L142" t="e">
        <f>NA()</f>
        <v>#N/A</v>
      </c>
      <c r="M142" t="e">
        <f>NA()</f>
        <v>#N/A</v>
      </c>
      <c r="N142" t="e">
        <f>NA()</f>
        <v>#N/A</v>
      </c>
      <c r="O142" t="e">
        <f>NA()</f>
        <v>#N/A</v>
      </c>
      <c r="P142" t="e">
        <f>NA()</f>
        <v>#N/A</v>
      </c>
      <c r="Q142" t="e">
        <f>NA()</f>
        <v>#N/A</v>
      </c>
      <c r="R142" t="e">
        <f>NA()</f>
        <v>#N/A</v>
      </c>
      <c r="S142" t="e">
        <f>NA()</f>
        <v>#N/A</v>
      </c>
      <c r="T142" t="e">
        <f>NA()</f>
        <v>#N/A</v>
      </c>
      <c r="U142" t="e">
        <f>NA()</f>
        <v>#N/A</v>
      </c>
      <c r="V142" t="e">
        <f>NA()</f>
        <v>#N/A</v>
      </c>
      <c r="W142" t="e">
        <f>NA()</f>
        <v>#N/A</v>
      </c>
      <c r="X142" t="e">
        <f>NA()</f>
        <v>#N/A</v>
      </c>
      <c r="Y142">
        <v>1968</v>
      </c>
      <c r="Z142">
        <v>9.8728219999999993</v>
      </c>
      <c r="AA142">
        <v>9.9237830000000002</v>
      </c>
      <c r="AB142" t="e">
        <f>NA()</f>
        <v>#N/A</v>
      </c>
      <c r="AC142" t="e">
        <f>NA()</f>
        <v>#N/A</v>
      </c>
      <c r="AD142" t="e">
        <f>NA()</f>
        <v>#N/A</v>
      </c>
      <c r="AE142" t="e">
        <f>NA()</f>
        <v>#N/A</v>
      </c>
      <c r="AF142" t="e">
        <f>NA()</f>
        <v>#N/A</v>
      </c>
      <c r="AG142" t="e">
        <f>NA()</f>
        <v>#N/A</v>
      </c>
      <c r="AH142" t="e">
        <f>NA()</f>
        <v>#N/A</v>
      </c>
      <c r="AI142" t="e">
        <f>NA()</f>
        <v>#N/A</v>
      </c>
      <c r="AJ142" t="e">
        <f>NA()</f>
        <v>#N/A</v>
      </c>
      <c r="AK142" t="e">
        <f>NA()</f>
        <v>#N/A</v>
      </c>
      <c r="AL142" t="e">
        <f>NA()</f>
        <v>#N/A</v>
      </c>
      <c r="AM142" t="e">
        <f>NA()</f>
        <v>#N/A</v>
      </c>
      <c r="AN142" t="e">
        <f>NA()</f>
        <v>#N/A</v>
      </c>
      <c r="AO142" t="e">
        <f>NA()</f>
        <v>#N/A</v>
      </c>
      <c r="AP142" t="e">
        <f>NA()</f>
        <v>#N/A</v>
      </c>
      <c r="AQ142" t="e">
        <f>NA()</f>
        <v>#N/A</v>
      </c>
      <c r="AR142" t="e">
        <f>NA()</f>
        <v>#N/A</v>
      </c>
      <c r="AS142" t="e">
        <f>NA()</f>
        <v>#N/A</v>
      </c>
    </row>
    <row r="143" spans="1:45">
      <c r="A143" t="e">
        <f>NA()</f>
        <v>#N/A</v>
      </c>
      <c r="B143" t="e">
        <f>NA()</f>
        <v>#N/A</v>
      </c>
      <c r="C143" t="e">
        <f>NA()</f>
        <v>#N/A</v>
      </c>
      <c r="D143" t="e">
        <f>NA()</f>
        <v>#N/A</v>
      </c>
      <c r="E143" t="e">
        <f>NA()</f>
        <v>#N/A</v>
      </c>
      <c r="F143" t="e">
        <f>NA()</f>
        <v>#N/A</v>
      </c>
      <c r="G143" t="e">
        <f>NA()</f>
        <v>#N/A</v>
      </c>
      <c r="H143" t="e">
        <f>NA()</f>
        <v>#N/A</v>
      </c>
      <c r="I143" t="e">
        <f>NA()</f>
        <v>#N/A</v>
      </c>
      <c r="J143" t="e">
        <f>NA()</f>
        <v>#N/A</v>
      </c>
      <c r="K143" t="e">
        <f>NA()</f>
        <v>#N/A</v>
      </c>
      <c r="L143" t="e">
        <f>NA()</f>
        <v>#N/A</v>
      </c>
      <c r="M143" t="e">
        <f>NA()</f>
        <v>#N/A</v>
      </c>
      <c r="N143" t="e">
        <f>NA()</f>
        <v>#N/A</v>
      </c>
      <c r="O143" t="e">
        <f>NA()</f>
        <v>#N/A</v>
      </c>
      <c r="P143" t="e">
        <f>NA()</f>
        <v>#N/A</v>
      </c>
      <c r="Q143" t="e">
        <f>NA()</f>
        <v>#N/A</v>
      </c>
      <c r="R143" t="e">
        <f>NA()</f>
        <v>#N/A</v>
      </c>
      <c r="S143" t="e">
        <f>NA()</f>
        <v>#N/A</v>
      </c>
      <c r="T143" t="e">
        <f>NA()</f>
        <v>#N/A</v>
      </c>
      <c r="U143" t="e">
        <f>NA()</f>
        <v>#N/A</v>
      </c>
      <c r="V143" t="e">
        <f>NA()</f>
        <v>#N/A</v>
      </c>
      <c r="W143" t="e">
        <f>NA()</f>
        <v>#N/A</v>
      </c>
      <c r="X143" t="e">
        <f>NA()</f>
        <v>#N/A</v>
      </c>
      <c r="Y143">
        <v>1969</v>
      </c>
      <c r="Z143">
        <v>9.8747279999999993</v>
      </c>
      <c r="AA143">
        <v>9.9396000000000004</v>
      </c>
      <c r="AB143" t="e">
        <f>NA()</f>
        <v>#N/A</v>
      </c>
      <c r="AC143" t="e">
        <f>NA()</f>
        <v>#N/A</v>
      </c>
      <c r="AD143" t="e">
        <f>NA()</f>
        <v>#N/A</v>
      </c>
      <c r="AE143" t="e">
        <f>NA()</f>
        <v>#N/A</v>
      </c>
      <c r="AF143" t="e">
        <f>NA()</f>
        <v>#N/A</v>
      </c>
      <c r="AG143" t="e">
        <f>NA()</f>
        <v>#N/A</v>
      </c>
      <c r="AH143" t="e">
        <f>NA()</f>
        <v>#N/A</v>
      </c>
      <c r="AI143" t="e">
        <f>NA()</f>
        <v>#N/A</v>
      </c>
      <c r="AJ143" t="e">
        <f>NA()</f>
        <v>#N/A</v>
      </c>
      <c r="AK143" t="e">
        <f>NA()</f>
        <v>#N/A</v>
      </c>
      <c r="AL143" t="e">
        <f>NA()</f>
        <v>#N/A</v>
      </c>
      <c r="AM143" t="e">
        <f>NA()</f>
        <v>#N/A</v>
      </c>
      <c r="AN143" t="e">
        <f>NA()</f>
        <v>#N/A</v>
      </c>
      <c r="AO143" t="e">
        <f>NA()</f>
        <v>#N/A</v>
      </c>
      <c r="AP143" t="e">
        <f>NA()</f>
        <v>#N/A</v>
      </c>
      <c r="AQ143" t="e">
        <f>NA()</f>
        <v>#N/A</v>
      </c>
      <c r="AR143" t="e">
        <f>NA()</f>
        <v>#N/A</v>
      </c>
      <c r="AS143" t="e">
        <f>NA()</f>
        <v>#N/A</v>
      </c>
    </row>
    <row r="144" spans="1:45">
      <c r="A144" t="e">
        <f>NA()</f>
        <v>#N/A</v>
      </c>
      <c r="B144" t="e">
        <f>NA()</f>
        <v>#N/A</v>
      </c>
      <c r="C144" t="e">
        <f>NA()</f>
        <v>#N/A</v>
      </c>
      <c r="D144" t="e">
        <f>NA()</f>
        <v>#N/A</v>
      </c>
      <c r="E144" t="e">
        <f>NA()</f>
        <v>#N/A</v>
      </c>
      <c r="F144" t="e">
        <f>NA()</f>
        <v>#N/A</v>
      </c>
      <c r="G144" t="e">
        <f>NA()</f>
        <v>#N/A</v>
      </c>
      <c r="H144" t="e">
        <f>NA()</f>
        <v>#N/A</v>
      </c>
      <c r="I144" t="e">
        <f>NA()</f>
        <v>#N/A</v>
      </c>
      <c r="J144" t="e">
        <f>NA()</f>
        <v>#N/A</v>
      </c>
      <c r="K144" t="e">
        <f>NA()</f>
        <v>#N/A</v>
      </c>
      <c r="L144" t="e">
        <f>NA()</f>
        <v>#N/A</v>
      </c>
      <c r="M144" t="e">
        <f>NA()</f>
        <v>#N/A</v>
      </c>
      <c r="N144" t="e">
        <f>NA()</f>
        <v>#N/A</v>
      </c>
      <c r="O144" t="e">
        <f>NA()</f>
        <v>#N/A</v>
      </c>
      <c r="P144" t="e">
        <f>NA()</f>
        <v>#N/A</v>
      </c>
      <c r="Q144" t="e">
        <f>NA()</f>
        <v>#N/A</v>
      </c>
      <c r="R144" t="e">
        <f>NA()</f>
        <v>#N/A</v>
      </c>
      <c r="S144" t="e">
        <f>NA()</f>
        <v>#N/A</v>
      </c>
      <c r="T144" t="e">
        <f>NA()</f>
        <v>#N/A</v>
      </c>
      <c r="U144" t="e">
        <f>NA()</f>
        <v>#N/A</v>
      </c>
      <c r="V144" t="e">
        <f>NA()</f>
        <v>#N/A</v>
      </c>
      <c r="W144" t="e">
        <f>NA()</f>
        <v>#N/A</v>
      </c>
      <c r="X144" t="e">
        <f>NA()</f>
        <v>#N/A</v>
      </c>
      <c r="Y144">
        <v>1970</v>
      </c>
      <c r="Z144">
        <v>9.8235240000000008</v>
      </c>
      <c r="AA144">
        <v>9.9981200000000001</v>
      </c>
      <c r="AB144" t="e">
        <f>NA()</f>
        <v>#N/A</v>
      </c>
      <c r="AC144" t="e">
        <f>NA()</f>
        <v>#N/A</v>
      </c>
      <c r="AD144" t="e">
        <f>NA()</f>
        <v>#N/A</v>
      </c>
      <c r="AE144" t="e">
        <f>NA()</f>
        <v>#N/A</v>
      </c>
      <c r="AF144" t="e">
        <f>NA()</f>
        <v>#N/A</v>
      </c>
      <c r="AG144" t="e">
        <f>NA()</f>
        <v>#N/A</v>
      </c>
      <c r="AH144" t="e">
        <f>NA()</f>
        <v>#N/A</v>
      </c>
      <c r="AI144" t="e">
        <f>NA()</f>
        <v>#N/A</v>
      </c>
      <c r="AJ144" t="e">
        <f>NA()</f>
        <v>#N/A</v>
      </c>
      <c r="AK144" t="e">
        <f>NA()</f>
        <v>#N/A</v>
      </c>
      <c r="AL144" t="e">
        <f>NA()</f>
        <v>#N/A</v>
      </c>
      <c r="AM144" t="e">
        <f>NA()</f>
        <v>#N/A</v>
      </c>
      <c r="AN144" t="e">
        <f>NA()</f>
        <v>#N/A</v>
      </c>
      <c r="AO144" t="e">
        <f>NA()</f>
        <v>#N/A</v>
      </c>
      <c r="AP144" t="e">
        <f>NA()</f>
        <v>#N/A</v>
      </c>
      <c r="AQ144" t="e">
        <f>NA()</f>
        <v>#N/A</v>
      </c>
      <c r="AR144" t="e">
        <f>NA()</f>
        <v>#N/A</v>
      </c>
      <c r="AS144" t="e">
        <f>NA()</f>
        <v>#N/A</v>
      </c>
    </row>
    <row r="145" spans="1:45">
      <c r="A145" t="e">
        <f>NA()</f>
        <v>#N/A</v>
      </c>
      <c r="B145" t="e">
        <f>NA()</f>
        <v>#N/A</v>
      </c>
      <c r="C145" t="e">
        <f>NA()</f>
        <v>#N/A</v>
      </c>
      <c r="D145" t="e">
        <f>NA()</f>
        <v>#N/A</v>
      </c>
      <c r="E145" t="e">
        <f>NA()</f>
        <v>#N/A</v>
      </c>
      <c r="F145" t="e">
        <f>NA()</f>
        <v>#N/A</v>
      </c>
      <c r="G145" t="e">
        <f>NA()</f>
        <v>#N/A</v>
      </c>
      <c r="H145" t="e">
        <f>NA()</f>
        <v>#N/A</v>
      </c>
      <c r="I145" t="e">
        <f>NA()</f>
        <v>#N/A</v>
      </c>
      <c r="J145" t="e">
        <f>NA()</f>
        <v>#N/A</v>
      </c>
      <c r="K145" t="e">
        <f>NA()</f>
        <v>#N/A</v>
      </c>
      <c r="L145" t="e">
        <f>NA()</f>
        <v>#N/A</v>
      </c>
      <c r="M145" t="e">
        <f>NA()</f>
        <v>#N/A</v>
      </c>
      <c r="N145" t="e">
        <f>NA()</f>
        <v>#N/A</v>
      </c>
      <c r="O145" t="e">
        <f>NA()</f>
        <v>#N/A</v>
      </c>
      <c r="P145" t="e">
        <f>NA()</f>
        <v>#N/A</v>
      </c>
      <c r="Q145" t="e">
        <f>NA()</f>
        <v>#N/A</v>
      </c>
      <c r="R145" t="e">
        <f>NA()</f>
        <v>#N/A</v>
      </c>
      <c r="S145" t="e">
        <f>NA()</f>
        <v>#N/A</v>
      </c>
      <c r="T145" t="e">
        <f>NA()</f>
        <v>#N/A</v>
      </c>
      <c r="U145" t="e">
        <f>NA()</f>
        <v>#N/A</v>
      </c>
      <c r="V145" t="e">
        <f>NA()</f>
        <v>#N/A</v>
      </c>
      <c r="W145" t="e">
        <f>NA()</f>
        <v>#N/A</v>
      </c>
      <c r="X145" t="e">
        <f>NA()</f>
        <v>#N/A</v>
      </c>
      <c r="Y145">
        <v>1971</v>
      </c>
      <c r="Z145">
        <v>9.6968329999999998</v>
      </c>
      <c r="AA145">
        <v>10.02065</v>
      </c>
      <c r="AB145" t="e">
        <f>NA()</f>
        <v>#N/A</v>
      </c>
      <c r="AC145" t="e">
        <f>NA()</f>
        <v>#N/A</v>
      </c>
      <c r="AD145" t="e">
        <f>NA()</f>
        <v>#N/A</v>
      </c>
      <c r="AE145" t="e">
        <f>NA()</f>
        <v>#N/A</v>
      </c>
      <c r="AF145" t="e">
        <f>NA()</f>
        <v>#N/A</v>
      </c>
      <c r="AG145" t="e">
        <f>NA()</f>
        <v>#N/A</v>
      </c>
      <c r="AH145" t="e">
        <f>NA()</f>
        <v>#N/A</v>
      </c>
      <c r="AI145" t="e">
        <f>NA()</f>
        <v>#N/A</v>
      </c>
      <c r="AJ145" t="e">
        <f>NA()</f>
        <v>#N/A</v>
      </c>
      <c r="AK145" t="e">
        <f>NA()</f>
        <v>#N/A</v>
      </c>
      <c r="AL145" t="e">
        <f>NA()</f>
        <v>#N/A</v>
      </c>
      <c r="AM145" t="e">
        <f>NA()</f>
        <v>#N/A</v>
      </c>
      <c r="AN145" t="e">
        <f>NA()</f>
        <v>#N/A</v>
      </c>
      <c r="AO145" t="e">
        <f>NA()</f>
        <v>#N/A</v>
      </c>
      <c r="AP145" t="e">
        <f>NA()</f>
        <v>#N/A</v>
      </c>
      <c r="AQ145" t="e">
        <f>NA()</f>
        <v>#N/A</v>
      </c>
      <c r="AR145" t="e">
        <f>NA()</f>
        <v>#N/A</v>
      </c>
      <c r="AS145" t="e">
        <f>NA()</f>
        <v>#N/A</v>
      </c>
    </row>
    <row r="146" spans="1:45">
      <c r="A146" t="e">
        <f>NA()</f>
        <v>#N/A</v>
      </c>
      <c r="B146" t="e">
        <f>NA()</f>
        <v>#N/A</v>
      </c>
      <c r="C146" t="e">
        <f>NA()</f>
        <v>#N/A</v>
      </c>
      <c r="D146" t="e">
        <f>NA()</f>
        <v>#N/A</v>
      </c>
      <c r="E146" t="e">
        <f>NA()</f>
        <v>#N/A</v>
      </c>
      <c r="F146" t="e">
        <f>NA()</f>
        <v>#N/A</v>
      </c>
      <c r="G146" t="e">
        <f>NA()</f>
        <v>#N/A</v>
      </c>
      <c r="H146" t="e">
        <f>NA()</f>
        <v>#N/A</v>
      </c>
      <c r="I146" t="e">
        <f>NA()</f>
        <v>#N/A</v>
      </c>
      <c r="J146" t="e">
        <f>NA()</f>
        <v>#N/A</v>
      </c>
      <c r="K146" t="e">
        <f>NA()</f>
        <v>#N/A</v>
      </c>
      <c r="L146" t="e">
        <f>NA()</f>
        <v>#N/A</v>
      </c>
      <c r="M146" t="e">
        <f>NA()</f>
        <v>#N/A</v>
      </c>
      <c r="N146" t="e">
        <f>NA()</f>
        <v>#N/A</v>
      </c>
      <c r="O146" t="e">
        <f>NA()</f>
        <v>#N/A</v>
      </c>
      <c r="P146" t="e">
        <f>NA()</f>
        <v>#N/A</v>
      </c>
      <c r="Q146" t="e">
        <f>NA()</f>
        <v>#N/A</v>
      </c>
      <c r="R146" t="e">
        <f>NA()</f>
        <v>#N/A</v>
      </c>
      <c r="S146" t="e">
        <f>NA()</f>
        <v>#N/A</v>
      </c>
      <c r="T146" t="e">
        <f>NA()</f>
        <v>#N/A</v>
      </c>
      <c r="U146" t="e">
        <f>NA()</f>
        <v>#N/A</v>
      </c>
      <c r="V146" t="e">
        <f>NA()</f>
        <v>#N/A</v>
      </c>
      <c r="W146" t="e">
        <f>NA()</f>
        <v>#N/A</v>
      </c>
      <c r="X146" t="e">
        <f>NA()</f>
        <v>#N/A</v>
      </c>
      <c r="Y146">
        <v>1972</v>
      </c>
      <c r="Z146">
        <v>9.6174040000000005</v>
      </c>
      <c r="AA146">
        <v>10.011049999999999</v>
      </c>
      <c r="AB146" t="e">
        <f>NA()</f>
        <v>#N/A</v>
      </c>
      <c r="AC146" t="e">
        <f>NA()</f>
        <v>#N/A</v>
      </c>
      <c r="AD146" t="e">
        <f>NA()</f>
        <v>#N/A</v>
      </c>
      <c r="AE146" t="e">
        <f>NA()</f>
        <v>#N/A</v>
      </c>
      <c r="AF146" t="e">
        <f>NA()</f>
        <v>#N/A</v>
      </c>
      <c r="AG146" t="e">
        <f>NA()</f>
        <v>#N/A</v>
      </c>
      <c r="AH146" t="e">
        <f>NA()</f>
        <v>#N/A</v>
      </c>
      <c r="AI146" t="e">
        <f>NA()</f>
        <v>#N/A</v>
      </c>
      <c r="AJ146" t="e">
        <f>NA()</f>
        <v>#N/A</v>
      </c>
      <c r="AK146" t="e">
        <f>NA()</f>
        <v>#N/A</v>
      </c>
      <c r="AL146" t="e">
        <f>NA()</f>
        <v>#N/A</v>
      </c>
      <c r="AM146" t="e">
        <f>NA()</f>
        <v>#N/A</v>
      </c>
      <c r="AN146" t="e">
        <f>NA()</f>
        <v>#N/A</v>
      </c>
      <c r="AO146" t="e">
        <f>NA()</f>
        <v>#N/A</v>
      </c>
      <c r="AP146" t="e">
        <f>NA()</f>
        <v>#N/A</v>
      </c>
      <c r="AQ146" t="e">
        <f>NA()</f>
        <v>#N/A</v>
      </c>
      <c r="AR146" t="e">
        <f>NA()</f>
        <v>#N/A</v>
      </c>
      <c r="AS146" t="e">
        <f>NA()</f>
        <v>#N/A</v>
      </c>
    </row>
    <row r="147" spans="1:45">
      <c r="A147" t="e">
        <f>NA()</f>
        <v>#N/A</v>
      </c>
      <c r="B147" t="e">
        <f>NA()</f>
        <v>#N/A</v>
      </c>
      <c r="C147" t="e">
        <f>NA()</f>
        <v>#N/A</v>
      </c>
      <c r="D147" t="e">
        <f>NA()</f>
        <v>#N/A</v>
      </c>
      <c r="E147" t="e">
        <f>NA()</f>
        <v>#N/A</v>
      </c>
      <c r="F147" t="e">
        <f>NA()</f>
        <v>#N/A</v>
      </c>
      <c r="G147" t="e">
        <f>NA()</f>
        <v>#N/A</v>
      </c>
      <c r="H147" t="e">
        <f>NA()</f>
        <v>#N/A</v>
      </c>
      <c r="I147" t="e">
        <f>NA()</f>
        <v>#N/A</v>
      </c>
      <c r="J147" t="e">
        <f>NA()</f>
        <v>#N/A</v>
      </c>
      <c r="K147" t="e">
        <f>NA()</f>
        <v>#N/A</v>
      </c>
      <c r="L147" t="e">
        <f>NA()</f>
        <v>#N/A</v>
      </c>
      <c r="M147" t="e">
        <f>NA()</f>
        <v>#N/A</v>
      </c>
      <c r="N147" t="e">
        <f>NA()</f>
        <v>#N/A</v>
      </c>
      <c r="O147" t="e">
        <f>NA()</f>
        <v>#N/A</v>
      </c>
      <c r="P147" t="e">
        <f>NA()</f>
        <v>#N/A</v>
      </c>
      <c r="Q147" t="e">
        <f>NA()</f>
        <v>#N/A</v>
      </c>
      <c r="R147" t="e">
        <f>NA()</f>
        <v>#N/A</v>
      </c>
      <c r="S147" t="e">
        <f>NA()</f>
        <v>#N/A</v>
      </c>
      <c r="T147" t="e">
        <f>NA()</f>
        <v>#N/A</v>
      </c>
      <c r="U147" t="e">
        <f>NA()</f>
        <v>#N/A</v>
      </c>
      <c r="V147" t="e">
        <f>NA()</f>
        <v>#N/A</v>
      </c>
      <c r="W147" t="e">
        <f>NA()</f>
        <v>#N/A</v>
      </c>
      <c r="X147" t="e">
        <f>NA()</f>
        <v>#N/A</v>
      </c>
      <c r="Y147">
        <v>1973</v>
      </c>
      <c r="Z147">
        <v>9.6099209999999999</v>
      </c>
      <c r="AA147">
        <v>9.9939630000000008</v>
      </c>
      <c r="AB147" t="e">
        <f>NA()</f>
        <v>#N/A</v>
      </c>
      <c r="AC147" t="e">
        <f>NA()</f>
        <v>#N/A</v>
      </c>
      <c r="AD147" t="e">
        <f>NA()</f>
        <v>#N/A</v>
      </c>
      <c r="AE147" t="e">
        <f>NA()</f>
        <v>#N/A</v>
      </c>
      <c r="AF147" t="e">
        <f>NA()</f>
        <v>#N/A</v>
      </c>
      <c r="AG147" t="e">
        <f>NA()</f>
        <v>#N/A</v>
      </c>
      <c r="AH147" t="e">
        <f>NA()</f>
        <v>#N/A</v>
      </c>
      <c r="AI147" t="e">
        <f>NA()</f>
        <v>#N/A</v>
      </c>
      <c r="AJ147" t="e">
        <f>NA()</f>
        <v>#N/A</v>
      </c>
      <c r="AK147" t="e">
        <f>NA()</f>
        <v>#N/A</v>
      </c>
      <c r="AL147" t="e">
        <f>NA()</f>
        <v>#N/A</v>
      </c>
      <c r="AM147" t="e">
        <f>NA()</f>
        <v>#N/A</v>
      </c>
      <c r="AN147" t="e">
        <f>NA()</f>
        <v>#N/A</v>
      </c>
      <c r="AO147" t="e">
        <f>NA()</f>
        <v>#N/A</v>
      </c>
      <c r="AP147" t="e">
        <f>NA()</f>
        <v>#N/A</v>
      </c>
      <c r="AQ147" t="e">
        <f>NA()</f>
        <v>#N/A</v>
      </c>
      <c r="AR147" t="e">
        <f>NA()</f>
        <v>#N/A</v>
      </c>
      <c r="AS147" t="e">
        <f>NA()</f>
        <v>#N/A</v>
      </c>
    </row>
    <row r="148" spans="1:45">
      <c r="A148" t="e">
        <f>NA()</f>
        <v>#N/A</v>
      </c>
      <c r="B148" t="e">
        <f>NA()</f>
        <v>#N/A</v>
      </c>
      <c r="C148" t="e">
        <f>NA()</f>
        <v>#N/A</v>
      </c>
      <c r="D148" t="e">
        <f>NA()</f>
        <v>#N/A</v>
      </c>
      <c r="E148" t="e">
        <f>NA()</f>
        <v>#N/A</v>
      </c>
      <c r="F148" t="e">
        <f>NA()</f>
        <v>#N/A</v>
      </c>
      <c r="G148" t="e">
        <f>NA()</f>
        <v>#N/A</v>
      </c>
      <c r="H148" t="e">
        <f>NA()</f>
        <v>#N/A</v>
      </c>
      <c r="I148" t="e">
        <f>NA()</f>
        <v>#N/A</v>
      </c>
      <c r="J148" t="e">
        <f>NA()</f>
        <v>#N/A</v>
      </c>
      <c r="K148" t="e">
        <f>NA()</f>
        <v>#N/A</v>
      </c>
      <c r="L148" t="e">
        <f>NA()</f>
        <v>#N/A</v>
      </c>
      <c r="M148" t="e">
        <f>NA()</f>
        <v>#N/A</v>
      </c>
      <c r="N148" t="e">
        <f>NA()</f>
        <v>#N/A</v>
      </c>
      <c r="O148" t="e">
        <f>NA()</f>
        <v>#N/A</v>
      </c>
      <c r="P148" t="e">
        <f>NA()</f>
        <v>#N/A</v>
      </c>
      <c r="Q148" t="e">
        <f>NA()</f>
        <v>#N/A</v>
      </c>
      <c r="R148" t="e">
        <f>NA()</f>
        <v>#N/A</v>
      </c>
      <c r="S148" t="e">
        <f>NA()</f>
        <v>#N/A</v>
      </c>
      <c r="T148" t="e">
        <f>NA()</f>
        <v>#N/A</v>
      </c>
      <c r="U148" t="e">
        <f>NA()</f>
        <v>#N/A</v>
      </c>
      <c r="V148" t="e">
        <f>NA()</f>
        <v>#N/A</v>
      </c>
      <c r="W148" t="e">
        <f>NA()</f>
        <v>#N/A</v>
      </c>
      <c r="X148" t="e">
        <f>NA()</f>
        <v>#N/A</v>
      </c>
      <c r="Y148">
        <v>1974</v>
      </c>
      <c r="Z148">
        <v>9.5769950000000001</v>
      </c>
      <c r="AA148">
        <v>10.052490000000001</v>
      </c>
      <c r="AB148" t="e">
        <f>NA()</f>
        <v>#N/A</v>
      </c>
      <c r="AC148" t="e">
        <f>NA()</f>
        <v>#N/A</v>
      </c>
      <c r="AD148" t="e">
        <f>NA()</f>
        <v>#N/A</v>
      </c>
      <c r="AE148" t="e">
        <f>NA()</f>
        <v>#N/A</v>
      </c>
      <c r="AF148" t="e">
        <f>NA()</f>
        <v>#N/A</v>
      </c>
      <c r="AG148" t="e">
        <f>NA()</f>
        <v>#N/A</v>
      </c>
      <c r="AH148" t="e">
        <f>NA()</f>
        <v>#N/A</v>
      </c>
      <c r="AI148" t="e">
        <f>NA()</f>
        <v>#N/A</v>
      </c>
      <c r="AJ148" t="e">
        <f>NA()</f>
        <v>#N/A</v>
      </c>
      <c r="AK148" t="e">
        <f>NA()</f>
        <v>#N/A</v>
      </c>
      <c r="AL148" t="e">
        <f>NA()</f>
        <v>#N/A</v>
      </c>
      <c r="AM148" t="e">
        <f>NA()</f>
        <v>#N/A</v>
      </c>
      <c r="AN148" t="e">
        <f>NA()</f>
        <v>#N/A</v>
      </c>
      <c r="AO148" t="e">
        <f>NA()</f>
        <v>#N/A</v>
      </c>
      <c r="AP148" t="e">
        <f>NA()</f>
        <v>#N/A</v>
      </c>
      <c r="AQ148" t="e">
        <f>NA()</f>
        <v>#N/A</v>
      </c>
      <c r="AR148" t="e">
        <f>NA()</f>
        <v>#N/A</v>
      </c>
      <c r="AS148" t="e">
        <f>NA()</f>
        <v>#N/A</v>
      </c>
    </row>
    <row r="149" spans="1:45">
      <c r="A149" t="e">
        <f>NA()</f>
        <v>#N/A</v>
      </c>
      <c r="B149" t="e">
        <f>NA()</f>
        <v>#N/A</v>
      </c>
      <c r="C149" t="e">
        <f>NA()</f>
        <v>#N/A</v>
      </c>
      <c r="D149" t="e">
        <f>NA()</f>
        <v>#N/A</v>
      </c>
      <c r="E149" t="e">
        <f>NA()</f>
        <v>#N/A</v>
      </c>
      <c r="F149" t="e">
        <f>NA()</f>
        <v>#N/A</v>
      </c>
      <c r="G149" t="e">
        <f>NA()</f>
        <v>#N/A</v>
      </c>
      <c r="H149" t="e">
        <f>NA()</f>
        <v>#N/A</v>
      </c>
      <c r="I149" t="e">
        <f>NA()</f>
        <v>#N/A</v>
      </c>
      <c r="J149" t="e">
        <f>NA()</f>
        <v>#N/A</v>
      </c>
      <c r="K149" t="e">
        <f>NA()</f>
        <v>#N/A</v>
      </c>
      <c r="L149" t="e">
        <f>NA()</f>
        <v>#N/A</v>
      </c>
      <c r="M149" t="e">
        <f>NA()</f>
        <v>#N/A</v>
      </c>
      <c r="N149" t="e">
        <f>NA()</f>
        <v>#N/A</v>
      </c>
      <c r="O149" t="e">
        <f>NA()</f>
        <v>#N/A</v>
      </c>
      <c r="P149" t="e">
        <f>NA()</f>
        <v>#N/A</v>
      </c>
      <c r="Q149" t="e">
        <f>NA()</f>
        <v>#N/A</v>
      </c>
      <c r="R149" t="e">
        <f>NA()</f>
        <v>#N/A</v>
      </c>
      <c r="S149" t="e">
        <f>NA()</f>
        <v>#N/A</v>
      </c>
      <c r="T149" t="e">
        <f>NA()</f>
        <v>#N/A</v>
      </c>
      <c r="U149" t="e">
        <f>NA()</f>
        <v>#N/A</v>
      </c>
      <c r="V149" t="e">
        <f>NA()</f>
        <v>#N/A</v>
      </c>
      <c r="W149" t="e">
        <f>NA()</f>
        <v>#N/A</v>
      </c>
      <c r="X149" t="e">
        <f>NA()</f>
        <v>#N/A</v>
      </c>
      <c r="Y149">
        <v>1975</v>
      </c>
      <c r="Z149">
        <v>9.5878859999999992</v>
      </c>
      <c r="AA149">
        <v>10.11267</v>
      </c>
      <c r="AB149" t="e">
        <f>NA()</f>
        <v>#N/A</v>
      </c>
      <c r="AC149" t="e">
        <f>NA()</f>
        <v>#N/A</v>
      </c>
      <c r="AD149" t="e">
        <f>NA()</f>
        <v>#N/A</v>
      </c>
      <c r="AE149" t="e">
        <f>NA()</f>
        <v>#N/A</v>
      </c>
      <c r="AF149" t="e">
        <f>NA()</f>
        <v>#N/A</v>
      </c>
      <c r="AG149" t="e">
        <f>NA()</f>
        <v>#N/A</v>
      </c>
      <c r="AH149" t="e">
        <f>NA()</f>
        <v>#N/A</v>
      </c>
      <c r="AI149" t="e">
        <f>NA()</f>
        <v>#N/A</v>
      </c>
      <c r="AJ149" t="e">
        <f>NA()</f>
        <v>#N/A</v>
      </c>
      <c r="AK149" t="e">
        <f>NA()</f>
        <v>#N/A</v>
      </c>
      <c r="AL149" t="e">
        <f>NA()</f>
        <v>#N/A</v>
      </c>
      <c r="AM149" t="e">
        <f>NA()</f>
        <v>#N/A</v>
      </c>
      <c r="AN149" t="e">
        <f>NA()</f>
        <v>#N/A</v>
      </c>
      <c r="AO149" t="e">
        <f>NA()</f>
        <v>#N/A</v>
      </c>
      <c r="AP149" t="e">
        <f>NA()</f>
        <v>#N/A</v>
      </c>
      <c r="AQ149" t="e">
        <f>NA()</f>
        <v>#N/A</v>
      </c>
      <c r="AR149" t="e">
        <f>NA()</f>
        <v>#N/A</v>
      </c>
      <c r="AS149" t="e">
        <f>NA()</f>
        <v>#N/A</v>
      </c>
    </row>
    <row r="150" spans="1:45">
      <c r="A150" t="e">
        <f>NA()</f>
        <v>#N/A</v>
      </c>
      <c r="B150" t="e">
        <f>NA()</f>
        <v>#N/A</v>
      </c>
      <c r="C150" t="e">
        <f>NA()</f>
        <v>#N/A</v>
      </c>
      <c r="D150" t="e">
        <f>NA()</f>
        <v>#N/A</v>
      </c>
      <c r="E150" t="e">
        <f>NA()</f>
        <v>#N/A</v>
      </c>
      <c r="F150" t="e">
        <f>NA()</f>
        <v>#N/A</v>
      </c>
      <c r="G150" t="e">
        <f>NA()</f>
        <v>#N/A</v>
      </c>
      <c r="H150" t="e">
        <f>NA()</f>
        <v>#N/A</v>
      </c>
      <c r="I150" t="e">
        <f>NA()</f>
        <v>#N/A</v>
      </c>
      <c r="J150" t="e">
        <f>NA()</f>
        <v>#N/A</v>
      </c>
      <c r="K150" t="e">
        <f>NA()</f>
        <v>#N/A</v>
      </c>
      <c r="L150" t="e">
        <f>NA()</f>
        <v>#N/A</v>
      </c>
      <c r="M150" t="e">
        <f>NA()</f>
        <v>#N/A</v>
      </c>
      <c r="N150" t="e">
        <f>NA()</f>
        <v>#N/A</v>
      </c>
      <c r="O150" t="e">
        <f>NA()</f>
        <v>#N/A</v>
      </c>
      <c r="P150" t="e">
        <f>NA()</f>
        <v>#N/A</v>
      </c>
      <c r="Q150" t="e">
        <f>NA()</f>
        <v>#N/A</v>
      </c>
      <c r="R150" t="e">
        <f>NA()</f>
        <v>#N/A</v>
      </c>
      <c r="S150" t="e">
        <f>NA()</f>
        <v>#N/A</v>
      </c>
      <c r="T150" t="e">
        <f>NA()</f>
        <v>#N/A</v>
      </c>
      <c r="U150" t="e">
        <f>NA()</f>
        <v>#N/A</v>
      </c>
      <c r="V150" t="e">
        <f>NA()</f>
        <v>#N/A</v>
      </c>
      <c r="W150" t="e">
        <f>NA()</f>
        <v>#N/A</v>
      </c>
      <c r="X150" t="e">
        <f>NA()</f>
        <v>#N/A</v>
      </c>
      <c r="Y150">
        <v>1976</v>
      </c>
      <c r="Z150">
        <v>9.6096529999999998</v>
      </c>
      <c r="AA150">
        <v>10.100849999999999</v>
      </c>
      <c r="AB150" t="e">
        <f>NA()</f>
        <v>#N/A</v>
      </c>
      <c r="AC150" t="e">
        <f>NA()</f>
        <v>#N/A</v>
      </c>
      <c r="AD150" t="e">
        <f>NA()</f>
        <v>#N/A</v>
      </c>
      <c r="AE150" t="e">
        <f>NA()</f>
        <v>#N/A</v>
      </c>
      <c r="AF150" t="e">
        <f>NA()</f>
        <v>#N/A</v>
      </c>
      <c r="AG150" t="e">
        <f>NA()</f>
        <v>#N/A</v>
      </c>
      <c r="AH150" t="e">
        <f>NA()</f>
        <v>#N/A</v>
      </c>
      <c r="AI150" t="e">
        <f>NA()</f>
        <v>#N/A</v>
      </c>
      <c r="AJ150" t="e">
        <f>NA()</f>
        <v>#N/A</v>
      </c>
      <c r="AK150" t="e">
        <f>NA()</f>
        <v>#N/A</v>
      </c>
      <c r="AL150" t="e">
        <f>NA()</f>
        <v>#N/A</v>
      </c>
      <c r="AM150" t="e">
        <f>NA()</f>
        <v>#N/A</v>
      </c>
      <c r="AN150" t="e">
        <f>NA()</f>
        <v>#N/A</v>
      </c>
      <c r="AO150" t="e">
        <f>NA()</f>
        <v>#N/A</v>
      </c>
      <c r="AP150" t="e">
        <f>NA()</f>
        <v>#N/A</v>
      </c>
      <c r="AQ150" t="e">
        <f>NA()</f>
        <v>#N/A</v>
      </c>
      <c r="AR150" t="e">
        <f>NA()</f>
        <v>#N/A</v>
      </c>
      <c r="AS150" t="e">
        <f>NA()</f>
        <v>#N/A</v>
      </c>
    </row>
    <row r="151" spans="1:45">
      <c r="A151" t="e">
        <f>NA()</f>
        <v>#N/A</v>
      </c>
      <c r="B151" t="e">
        <f>NA()</f>
        <v>#N/A</v>
      </c>
      <c r="C151" t="e">
        <f>NA()</f>
        <v>#N/A</v>
      </c>
      <c r="D151" t="e">
        <f>NA()</f>
        <v>#N/A</v>
      </c>
      <c r="E151" t="e">
        <f>NA()</f>
        <v>#N/A</v>
      </c>
      <c r="F151" t="e">
        <f>NA()</f>
        <v>#N/A</v>
      </c>
      <c r="G151" t="e">
        <f>NA()</f>
        <v>#N/A</v>
      </c>
      <c r="H151" t="e">
        <f>NA()</f>
        <v>#N/A</v>
      </c>
      <c r="I151" t="e">
        <f>NA()</f>
        <v>#N/A</v>
      </c>
      <c r="J151" t="e">
        <f>NA()</f>
        <v>#N/A</v>
      </c>
      <c r="K151" t="e">
        <f>NA()</f>
        <v>#N/A</v>
      </c>
      <c r="L151" t="e">
        <f>NA()</f>
        <v>#N/A</v>
      </c>
      <c r="M151" t="e">
        <f>NA()</f>
        <v>#N/A</v>
      </c>
      <c r="N151" t="e">
        <f>NA()</f>
        <v>#N/A</v>
      </c>
      <c r="O151" t="e">
        <f>NA()</f>
        <v>#N/A</v>
      </c>
      <c r="P151" t="e">
        <f>NA()</f>
        <v>#N/A</v>
      </c>
      <c r="Q151" t="e">
        <f>NA()</f>
        <v>#N/A</v>
      </c>
      <c r="R151" t="e">
        <f>NA()</f>
        <v>#N/A</v>
      </c>
      <c r="S151" t="e">
        <f>NA()</f>
        <v>#N/A</v>
      </c>
      <c r="T151" t="e">
        <f>NA()</f>
        <v>#N/A</v>
      </c>
      <c r="U151" t="e">
        <f>NA()</f>
        <v>#N/A</v>
      </c>
      <c r="V151" t="e">
        <f>NA()</f>
        <v>#N/A</v>
      </c>
      <c r="W151" t="e">
        <f>NA()</f>
        <v>#N/A</v>
      </c>
      <c r="X151" t="e">
        <f>NA()</f>
        <v>#N/A</v>
      </c>
      <c r="Y151">
        <v>1977</v>
      </c>
      <c r="Z151">
        <v>9.6356079999999995</v>
      </c>
      <c r="AA151">
        <v>10.09923</v>
      </c>
      <c r="AB151" t="e">
        <f>NA()</f>
        <v>#N/A</v>
      </c>
      <c r="AC151" t="e">
        <f>NA()</f>
        <v>#N/A</v>
      </c>
      <c r="AD151" t="e">
        <f>NA()</f>
        <v>#N/A</v>
      </c>
      <c r="AE151" t="e">
        <f>NA()</f>
        <v>#N/A</v>
      </c>
      <c r="AF151" t="e">
        <f>NA()</f>
        <v>#N/A</v>
      </c>
      <c r="AG151" t="e">
        <f>NA()</f>
        <v>#N/A</v>
      </c>
      <c r="AH151" t="e">
        <f>NA()</f>
        <v>#N/A</v>
      </c>
      <c r="AI151" t="e">
        <f>NA()</f>
        <v>#N/A</v>
      </c>
      <c r="AJ151" t="e">
        <f>NA()</f>
        <v>#N/A</v>
      </c>
      <c r="AK151" t="e">
        <f>NA()</f>
        <v>#N/A</v>
      </c>
      <c r="AL151" t="e">
        <f>NA()</f>
        <v>#N/A</v>
      </c>
      <c r="AM151" t="e">
        <f>NA()</f>
        <v>#N/A</v>
      </c>
      <c r="AN151" t="e">
        <f>NA()</f>
        <v>#N/A</v>
      </c>
      <c r="AO151" t="e">
        <f>NA()</f>
        <v>#N/A</v>
      </c>
      <c r="AP151" t="e">
        <f>NA()</f>
        <v>#N/A</v>
      </c>
      <c r="AQ151" t="e">
        <f>NA()</f>
        <v>#N/A</v>
      </c>
      <c r="AR151" t="e">
        <f>NA()</f>
        <v>#N/A</v>
      </c>
      <c r="AS151" t="e">
        <f>NA()</f>
        <v>#N/A</v>
      </c>
    </row>
    <row r="152" spans="1:45">
      <c r="A152" t="e">
        <f>NA()</f>
        <v>#N/A</v>
      </c>
      <c r="B152" t="e">
        <f>NA()</f>
        <v>#N/A</v>
      </c>
      <c r="C152" t="e">
        <f>NA()</f>
        <v>#N/A</v>
      </c>
      <c r="D152" t="e">
        <f>NA()</f>
        <v>#N/A</v>
      </c>
      <c r="E152" t="e">
        <f>NA()</f>
        <v>#N/A</v>
      </c>
      <c r="F152" t="e">
        <f>NA()</f>
        <v>#N/A</v>
      </c>
      <c r="G152" t="e">
        <f>NA()</f>
        <v>#N/A</v>
      </c>
      <c r="H152" t="e">
        <f>NA()</f>
        <v>#N/A</v>
      </c>
      <c r="I152" t="e">
        <f>NA()</f>
        <v>#N/A</v>
      </c>
      <c r="J152" t="e">
        <f>NA()</f>
        <v>#N/A</v>
      </c>
      <c r="K152" t="e">
        <f>NA()</f>
        <v>#N/A</v>
      </c>
      <c r="L152" t="e">
        <f>NA()</f>
        <v>#N/A</v>
      </c>
      <c r="M152" t="e">
        <f>NA()</f>
        <v>#N/A</v>
      </c>
      <c r="N152" t="e">
        <f>NA()</f>
        <v>#N/A</v>
      </c>
      <c r="O152" t="e">
        <f>NA()</f>
        <v>#N/A</v>
      </c>
      <c r="P152" t="e">
        <f>NA()</f>
        <v>#N/A</v>
      </c>
      <c r="Q152" t="e">
        <f>NA()</f>
        <v>#N/A</v>
      </c>
      <c r="R152" t="e">
        <f>NA()</f>
        <v>#N/A</v>
      </c>
      <c r="S152" t="e">
        <f>NA()</f>
        <v>#N/A</v>
      </c>
      <c r="T152" t="e">
        <f>NA()</f>
        <v>#N/A</v>
      </c>
      <c r="U152" t="e">
        <f>NA()</f>
        <v>#N/A</v>
      </c>
      <c r="V152" t="e">
        <f>NA()</f>
        <v>#N/A</v>
      </c>
      <c r="W152" t="e">
        <f>NA()</f>
        <v>#N/A</v>
      </c>
      <c r="X152" t="e">
        <f>NA()</f>
        <v>#N/A</v>
      </c>
      <c r="Y152">
        <v>1978</v>
      </c>
      <c r="Z152">
        <v>9.6920249999999992</v>
      </c>
      <c r="AA152">
        <v>10.084070000000001</v>
      </c>
      <c r="AB152" t="e">
        <f>NA()</f>
        <v>#N/A</v>
      </c>
      <c r="AC152" t="e">
        <f>NA()</f>
        <v>#N/A</v>
      </c>
      <c r="AD152" t="e">
        <f>NA()</f>
        <v>#N/A</v>
      </c>
      <c r="AE152" t="e">
        <f>NA()</f>
        <v>#N/A</v>
      </c>
      <c r="AF152" t="e">
        <f>NA()</f>
        <v>#N/A</v>
      </c>
      <c r="AG152" t="e">
        <f>NA()</f>
        <v>#N/A</v>
      </c>
      <c r="AH152" t="e">
        <f>NA()</f>
        <v>#N/A</v>
      </c>
      <c r="AI152" t="e">
        <f>NA()</f>
        <v>#N/A</v>
      </c>
      <c r="AJ152" t="e">
        <f>NA()</f>
        <v>#N/A</v>
      </c>
      <c r="AK152" t="e">
        <f>NA()</f>
        <v>#N/A</v>
      </c>
      <c r="AL152" t="e">
        <f>NA()</f>
        <v>#N/A</v>
      </c>
      <c r="AM152" t="e">
        <f>NA()</f>
        <v>#N/A</v>
      </c>
      <c r="AN152" t="e">
        <f>NA()</f>
        <v>#N/A</v>
      </c>
      <c r="AO152" t="e">
        <f>NA()</f>
        <v>#N/A</v>
      </c>
      <c r="AP152" t="e">
        <f>NA()</f>
        <v>#N/A</v>
      </c>
      <c r="AQ152" t="e">
        <f>NA()</f>
        <v>#N/A</v>
      </c>
      <c r="AR152" t="e">
        <f>NA()</f>
        <v>#N/A</v>
      </c>
      <c r="AS152" t="e">
        <f>NA()</f>
        <v>#N/A</v>
      </c>
    </row>
    <row r="153" spans="1:45">
      <c r="A153" t="e">
        <f>NA()</f>
        <v>#N/A</v>
      </c>
      <c r="B153" t="e">
        <f>NA()</f>
        <v>#N/A</v>
      </c>
      <c r="C153" t="e">
        <f>NA()</f>
        <v>#N/A</v>
      </c>
      <c r="D153" t="e">
        <f>NA()</f>
        <v>#N/A</v>
      </c>
      <c r="E153" t="e">
        <f>NA()</f>
        <v>#N/A</v>
      </c>
      <c r="F153" t="e">
        <f>NA()</f>
        <v>#N/A</v>
      </c>
      <c r="G153" t="e">
        <f>NA()</f>
        <v>#N/A</v>
      </c>
      <c r="H153" t="e">
        <f>NA()</f>
        <v>#N/A</v>
      </c>
      <c r="I153" t="e">
        <f>NA()</f>
        <v>#N/A</v>
      </c>
      <c r="J153" t="e">
        <f>NA()</f>
        <v>#N/A</v>
      </c>
      <c r="K153" t="e">
        <f>NA()</f>
        <v>#N/A</v>
      </c>
      <c r="L153" t="e">
        <f>NA()</f>
        <v>#N/A</v>
      </c>
      <c r="M153" t="e">
        <f>NA()</f>
        <v>#N/A</v>
      </c>
      <c r="N153" t="e">
        <f>NA()</f>
        <v>#N/A</v>
      </c>
      <c r="O153" t="e">
        <f>NA()</f>
        <v>#N/A</v>
      </c>
      <c r="P153" t="e">
        <f>NA()</f>
        <v>#N/A</v>
      </c>
      <c r="Q153" t="e">
        <f>NA()</f>
        <v>#N/A</v>
      </c>
      <c r="R153" t="e">
        <f>NA()</f>
        <v>#N/A</v>
      </c>
      <c r="S153" t="e">
        <f>NA()</f>
        <v>#N/A</v>
      </c>
      <c r="T153" t="e">
        <f>NA()</f>
        <v>#N/A</v>
      </c>
      <c r="U153" t="e">
        <f>NA()</f>
        <v>#N/A</v>
      </c>
      <c r="V153" t="e">
        <f>NA()</f>
        <v>#N/A</v>
      </c>
      <c r="W153" t="e">
        <f>NA()</f>
        <v>#N/A</v>
      </c>
      <c r="X153" t="e">
        <f>NA()</f>
        <v>#N/A</v>
      </c>
      <c r="Y153">
        <v>1979</v>
      </c>
      <c r="Z153">
        <v>9.7723530000000007</v>
      </c>
      <c r="AA153">
        <v>10.09896</v>
      </c>
      <c r="AB153" t="e">
        <f>NA()</f>
        <v>#N/A</v>
      </c>
      <c r="AC153" t="e">
        <f>NA()</f>
        <v>#N/A</v>
      </c>
      <c r="AD153" t="e">
        <f>NA()</f>
        <v>#N/A</v>
      </c>
      <c r="AE153" t="e">
        <f>NA()</f>
        <v>#N/A</v>
      </c>
      <c r="AF153" t="e">
        <f>NA()</f>
        <v>#N/A</v>
      </c>
      <c r="AG153" t="e">
        <f>NA()</f>
        <v>#N/A</v>
      </c>
      <c r="AH153" t="e">
        <f>NA()</f>
        <v>#N/A</v>
      </c>
      <c r="AI153" t="e">
        <f>NA()</f>
        <v>#N/A</v>
      </c>
      <c r="AJ153" t="e">
        <f>NA()</f>
        <v>#N/A</v>
      </c>
      <c r="AK153" t="e">
        <f>NA()</f>
        <v>#N/A</v>
      </c>
      <c r="AL153" t="e">
        <f>NA()</f>
        <v>#N/A</v>
      </c>
      <c r="AM153" t="e">
        <f>NA()</f>
        <v>#N/A</v>
      </c>
      <c r="AN153" t="e">
        <f>NA()</f>
        <v>#N/A</v>
      </c>
      <c r="AO153" t="e">
        <f>NA()</f>
        <v>#N/A</v>
      </c>
      <c r="AP153" t="e">
        <f>NA()</f>
        <v>#N/A</v>
      </c>
      <c r="AQ153" t="e">
        <f>NA()</f>
        <v>#N/A</v>
      </c>
      <c r="AR153" t="e">
        <f>NA()</f>
        <v>#N/A</v>
      </c>
      <c r="AS153" t="e">
        <f>NA()</f>
        <v>#N/A</v>
      </c>
    </row>
    <row r="154" spans="1:45">
      <c r="A154" t="e">
        <f>NA()</f>
        <v>#N/A</v>
      </c>
      <c r="B154" t="e">
        <f>NA()</f>
        <v>#N/A</v>
      </c>
      <c r="C154" t="e">
        <f>NA()</f>
        <v>#N/A</v>
      </c>
      <c r="D154" t="e">
        <f>NA()</f>
        <v>#N/A</v>
      </c>
      <c r="E154" t="e">
        <f>NA()</f>
        <v>#N/A</v>
      </c>
      <c r="F154" t="e">
        <f>NA()</f>
        <v>#N/A</v>
      </c>
      <c r="G154" t="e">
        <f>NA()</f>
        <v>#N/A</v>
      </c>
      <c r="H154" t="e">
        <f>NA()</f>
        <v>#N/A</v>
      </c>
      <c r="I154" t="e">
        <f>NA()</f>
        <v>#N/A</v>
      </c>
      <c r="J154" t="e">
        <f>NA()</f>
        <v>#N/A</v>
      </c>
      <c r="K154" t="e">
        <f>NA()</f>
        <v>#N/A</v>
      </c>
      <c r="L154" t="e">
        <f>NA()</f>
        <v>#N/A</v>
      </c>
      <c r="M154" t="e">
        <f>NA()</f>
        <v>#N/A</v>
      </c>
      <c r="N154" t="e">
        <f>NA()</f>
        <v>#N/A</v>
      </c>
      <c r="O154" t="e">
        <f>NA()</f>
        <v>#N/A</v>
      </c>
      <c r="P154" t="e">
        <f>NA()</f>
        <v>#N/A</v>
      </c>
      <c r="Q154" t="e">
        <f>NA()</f>
        <v>#N/A</v>
      </c>
      <c r="R154" t="e">
        <f>NA()</f>
        <v>#N/A</v>
      </c>
      <c r="S154" t="e">
        <f>NA()</f>
        <v>#N/A</v>
      </c>
      <c r="T154" t="e">
        <f>NA()</f>
        <v>#N/A</v>
      </c>
      <c r="U154" t="e">
        <f>NA()</f>
        <v>#N/A</v>
      </c>
      <c r="V154" t="e">
        <f>NA()</f>
        <v>#N/A</v>
      </c>
      <c r="W154" t="e">
        <f>NA()</f>
        <v>#N/A</v>
      </c>
      <c r="X154" t="e">
        <f>NA()</f>
        <v>#N/A</v>
      </c>
      <c r="Y154">
        <v>1980</v>
      </c>
      <c r="Z154">
        <v>9.8235779999999995</v>
      </c>
      <c r="AA154">
        <v>10.159140000000001</v>
      </c>
      <c r="AB154" t="e">
        <f>NA()</f>
        <v>#N/A</v>
      </c>
      <c r="AC154" t="e">
        <f>NA()</f>
        <v>#N/A</v>
      </c>
      <c r="AD154" t="e">
        <f>NA()</f>
        <v>#N/A</v>
      </c>
      <c r="AE154" t="e">
        <f>NA()</f>
        <v>#N/A</v>
      </c>
      <c r="AF154" t="e">
        <f>NA()</f>
        <v>#N/A</v>
      </c>
      <c r="AG154" t="e">
        <f>NA()</f>
        <v>#N/A</v>
      </c>
      <c r="AH154" t="e">
        <f>NA()</f>
        <v>#N/A</v>
      </c>
      <c r="AI154" t="e">
        <f>NA()</f>
        <v>#N/A</v>
      </c>
      <c r="AJ154" t="e">
        <f>NA()</f>
        <v>#N/A</v>
      </c>
      <c r="AK154" t="e">
        <f>NA()</f>
        <v>#N/A</v>
      </c>
      <c r="AL154" t="e">
        <f>NA()</f>
        <v>#N/A</v>
      </c>
      <c r="AM154" t="e">
        <f>NA()</f>
        <v>#N/A</v>
      </c>
      <c r="AN154" t="e">
        <f>NA()</f>
        <v>#N/A</v>
      </c>
      <c r="AO154" t="e">
        <f>NA()</f>
        <v>#N/A</v>
      </c>
      <c r="AP154" t="e">
        <f>NA()</f>
        <v>#N/A</v>
      </c>
      <c r="AQ154" t="e">
        <f>NA()</f>
        <v>#N/A</v>
      </c>
      <c r="AR154" t="e">
        <f>NA()</f>
        <v>#N/A</v>
      </c>
      <c r="AS154" t="e">
        <f>NA()</f>
        <v>#N/A</v>
      </c>
    </row>
    <row r="155" spans="1:45">
      <c r="A155" t="e">
        <f>NA()</f>
        <v>#N/A</v>
      </c>
      <c r="B155" t="e">
        <f>NA()</f>
        <v>#N/A</v>
      </c>
      <c r="C155" t="e">
        <f>NA()</f>
        <v>#N/A</v>
      </c>
      <c r="D155" t="e">
        <f>NA()</f>
        <v>#N/A</v>
      </c>
      <c r="E155" t="e">
        <f>NA()</f>
        <v>#N/A</v>
      </c>
      <c r="F155" t="e">
        <f>NA()</f>
        <v>#N/A</v>
      </c>
      <c r="G155" t="e">
        <f>NA()</f>
        <v>#N/A</v>
      </c>
      <c r="H155" t="e">
        <f>NA()</f>
        <v>#N/A</v>
      </c>
      <c r="I155" t="e">
        <f>NA()</f>
        <v>#N/A</v>
      </c>
      <c r="J155" t="e">
        <f>NA()</f>
        <v>#N/A</v>
      </c>
      <c r="K155" t="e">
        <f>NA()</f>
        <v>#N/A</v>
      </c>
      <c r="L155" t="e">
        <f>NA()</f>
        <v>#N/A</v>
      </c>
      <c r="M155" t="e">
        <f>NA()</f>
        <v>#N/A</v>
      </c>
      <c r="N155" t="e">
        <f>NA()</f>
        <v>#N/A</v>
      </c>
      <c r="O155" t="e">
        <f>NA()</f>
        <v>#N/A</v>
      </c>
      <c r="P155" t="e">
        <f>NA()</f>
        <v>#N/A</v>
      </c>
      <c r="Q155" t="e">
        <f>NA()</f>
        <v>#N/A</v>
      </c>
      <c r="R155" t="e">
        <f>NA()</f>
        <v>#N/A</v>
      </c>
      <c r="S155" t="e">
        <f>NA()</f>
        <v>#N/A</v>
      </c>
      <c r="T155" t="e">
        <f>NA()</f>
        <v>#N/A</v>
      </c>
      <c r="U155" t="e">
        <f>NA()</f>
        <v>#N/A</v>
      </c>
      <c r="V155" t="e">
        <f>NA()</f>
        <v>#N/A</v>
      </c>
      <c r="W155" t="e">
        <f>NA()</f>
        <v>#N/A</v>
      </c>
      <c r="X155" t="e">
        <f>NA()</f>
        <v>#N/A</v>
      </c>
      <c r="Y155">
        <v>1981</v>
      </c>
      <c r="Z155">
        <v>9.8473410000000001</v>
      </c>
      <c r="AA155">
        <v>10.18267</v>
      </c>
      <c r="AB155" t="e">
        <f>NA()</f>
        <v>#N/A</v>
      </c>
      <c r="AC155" t="e">
        <f>NA()</f>
        <v>#N/A</v>
      </c>
      <c r="AD155" t="e">
        <f>NA()</f>
        <v>#N/A</v>
      </c>
      <c r="AE155" t="e">
        <f>NA()</f>
        <v>#N/A</v>
      </c>
      <c r="AF155" t="e">
        <f>NA()</f>
        <v>#N/A</v>
      </c>
      <c r="AG155" t="e">
        <f>NA()</f>
        <v>#N/A</v>
      </c>
      <c r="AH155" t="e">
        <f>NA()</f>
        <v>#N/A</v>
      </c>
      <c r="AI155" t="e">
        <f>NA()</f>
        <v>#N/A</v>
      </c>
      <c r="AJ155" t="e">
        <f>NA()</f>
        <v>#N/A</v>
      </c>
      <c r="AK155" t="e">
        <f>NA()</f>
        <v>#N/A</v>
      </c>
      <c r="AL155" t="e">
        <f>NA()</f>
        <v>#N/A</v>
      </c>
      <c r="AM155" t="e">
        <f>NA()</f>
        <v>#N/A</v>
      </c>
      <c r="AN155" t="e">
        <f>NA()</f>
        <v>#N/A</v>
      </c>
      <c r="AO155" t="e">
        <f>NA()</f>
        <v>#N/A</v>
      </c>
      <c r="AP155" t="e">
        <f>NA()</f>
        <v>#N/A</v>
      </c>
      <c r="AQ155" t="e">
        <f>NA()</f>
        <v>#N/A</v>
      </c>
      <c r="AR155" t="e">
        <f>NA()</f>
        <v>#N/A</v>
      </c>
      <c r="AS155" t="e">
        <f>NA()</f>
        <v>#N/A</v>
      </c>
    </row>
    <row r="156" spans="1:45">
      <c r="A156" t="e">
        <f>NA()</f>
        <v>#N/A</v>
      </c>
      <c r="B156" t="e">
        <f>NA()</f>
        <v>#N/A</v>
      </c>
      <c r="C156" t="e">
        <f>NA()</f>
        <v>#N/A</v>
      </c>
      <c r="D156" t="e">
        <f>NA()</f>
        <v>#N/A</v>
      </c>
      <c r="E156" t="e">
        <f>NA()</f>
        <v>#N/A</v>
      </c>
      <c r="F156" t="e">
        <f>NA()</f>
        <v>#N/A</v>
      </c>
      <c r="G156" t="e">
        <f>NA()</f>
        <v>#N/A</v>
      </c>
      <c r="H156" t="e">
        <f>NA()</f>
        <v>#N/A</v>
      </c>
      <c r="I156" t="e">
        <f>NA()</f>
        <v>#N/A</v>
      </c>
      <c r="J156" t="e">
        <f>NA()</f>
        <v>#N/A</v>
      </c>
      <c r="K156" t="e">
        <f>NA()</f>
        <v>#N/A</v>
      </c>
      <c r="L156" t="e">
        <f>NA()</f>
        <v>#N/A</v>
      </c>
      <c r="M156" t="e">
        <f>NA()</f>
        <v>#N/A</v>
      </c>
      <c r="N156" t="e">
        <f>NA()</f>
        <v>#N/A</v>
      </c>
      <c r="O156" t="e">
        <f>NA()</f>
        <v>#N/A</v>
      </c>
      <c r="P156" t="e">
        <f>NA()</f>
        <v>#N/A</v>
      </c>
      <c r="Q156" t="e">
        <f>NA()</f>
        <v>#N/A</v>
      </c>
      <c r="R156" t="e">
        <f>NA()</f>
        <v>#N/A</v>
      </c>
      <c r="S156" t="e">
        <f>NA()</f>
        <v>#N/A</v>
      </c>
      <c r="T156" t="e">
        <f>NA()</f>
        <v>#N/A</v>
      </c>
      <c r="U156" t="e">
        <f>NA()</f>
        <v>#N/A</v>
      </c>
      <c r="V156" t="e">
        <f>NA()</f>
        <v>#N/A</v>
      </c>
      <c r="W156" t="e">
        <f>NA()</f>
        <v>#N/A</v>
      </c>
      <c r="X156" t="e">
        <f>NA()</f>
        <v>#N/A</v>
      </c>
      <c r="Y156">
        <v>1982</v>
      </c>
      <c r="Z156">
        <v>9.8580199999999998</v>
      </c>
      <c r="AA156">
        <v>10.26327</v>
      </c>
      <c r="AB156" t="e">
        <f>NA()</f>
        <v>#N/A</v>
      </c>
      <c r="AC156" t="e">
        <f>NA()</f>
        <v>#N/A</v>
      </c>
      <c r="AD156" t="e">
        <f>NA()</f>
        <v>#N/A</v>
      </c>
      <c r="AE156" t="e">
        <f>NA()</f>
        <v>#N/A</v>
      </c>
      <c r="AF156" t="e">
        <f>NA()</f>
        <v>#N/A</v>
      </c>
      <c r="AG156" t="e">
        <f>NA()</f>
        <v>#N/A</v>
      </c>
      <c r="AH156" t="e">
        <f>NA()</f>
        <v>#N/A</v>
      </c>
      <c r="AI156" t="e">
        <f>NA()</f>
        <v>#N/A</v>
      </c>
      <c r="AJ156" t="e">
        <f>NA()</f>
        <v>#N/A</v>
      </c>
      <c r="AK156" t="e">
        <f>NA()</f>
        <v>#N/A</v>
      </c>
      <c r="AL156" t="e">
        <f>NA()</f>
        <v>#N/A</v>
      </c>
      <c r="AM156" t="e">
        <f>NA()</f>
        <v>#N/A</v>
      </c>
      <c r="AN156" t="e">
        <f>NA()</f>
        <v>#N/A</v>
      </c>
      <c r="AO156" t="e">
        <f>NA()</f>
        <v>#N/A</v>
      </c>
      <c r="AP156" t="e">
        <f>NA()</f>
        <v>#N/A</v>
      </c>
      <c r="AQ156" t="e">
        <f>NA()</f>
        <v>#N/A</v>
      </c>
      <c r="AR156" t="e">
        <f>NA()</f>
        <v>#N/A</v>
      </c>
      <c r="AS156" t="e">
        <f>NA()</f>
        <v>#N/A</v>
      </c>
    </row>
    <row r="157" spans="1:45">
      <c r="A157" t="e">
        <f>NA()</f>
        <v>#N/A</v>
      </c>
      <c r="B157" t="e">
        <f>NA()</f>
        <v>#N/A</v>
      </c>
      <c r="C157" t="e">
        <f>NA()</f>
        <v>#N/A</v>
      </c>
      <c r="D157" t="e">
        <f>NA()</f>
        <v>#N/A</v>
      </c>
      <c r="E157" t="e">
        <f>NA()</f>
        <v>#N/A</v>
      </c>
      <c r="F157" t="e">
        <f>NA()</f>
        <v>#N/A</v>
      </c>
      <c r="G157" t="e">
        <f>NA()</f>
        <v>#N/A</v>
      </c>
      <c r="H157" t="e">
        <f>NA()</f>
        <v>#N/A</v>
      </c>
      <c r="I157" t="e">
        <f>NA()</f>
        <v>#N/A</v>
      </c>
      <c r="J157" t="e">
        <f>NA()</f>
        <v>#N/A</v>
      </c>
      <c r="K157" t="e">
        <f>NA()</f>
        <v>#N/A</v>
      </c>
      <c r="L157" t="e">
        <f>NA()</f>
        <v>#N/A</v>
      </c>
      <c r="M157" t="e">
        <f>NA()</f>
        <v>#N/A</v>
      </c>
      <c r="N157" t="e">
        <f>NA()</f>
        <v>#N/A</v>
      </c>
      <c r="O157" t="e">
        <f>NA()</f>
        <v>#N/A</v>
      </c>
      <c r="P157" t="e">
        <f>NA()</f>
        <v>#N/A</v>
      </c>
      <c r="Q157" t="e">
        <f>NA()</f>
        <v>#N/A</v>
      </c>
      <c r="R157" t="e">
        <f>NA()</f>
        <v>#N/A</v>
      </c>
      <c r="S157" t="e">
        <f>NA()</f>
        <v>#N/A</v>
      </c>
      <c r="T157" t="e">
        <f>NA()</f>
        <v>#N/A</v>
      </c>
      <c r="U157" t="e">
        <f>NA()</f>
        <v>#N/A</v>
      </c>
      <c r="V157" t="e">
        <f>NA()</f>
        <v>#N/A</v>
      </c>
      <c r="W157" t="e">
        <f>NA()</f>
        <v>#N/A</v>
      </c>
      <c r="X157" t="e">
        <f>NA()</f>
        <v>#N/A</v>
      </c>
      <c r="Y157">
        <v>1983</v>
      </c>
      <c r="Z157">
        <v>9.8708609999999997</v>
      </c>
      <c r="AA157">
        <v>10.26347</v>
      </c>
      <c r="AB157" t="e">
        <f>NA()</f>
        <v>#N/A</v>
      </c>
      <c r="AC157" t="e">
        <f>NA()</f>
        <v>#N/A</v>
      </c>
      <c r="AD157" t="e">
        <f>NA()</f>
        <v>#N/A</v>
      </c>
      <c r="AE157" t="e">
        <f>NA()</f>
        <v>#N/A</v>
      </c>
      <c r="AF157" t="e">
        <f>NA()</f>
        <v>#N/A</v>
      </c>
      <c r="AG157" t="e">
        <f>NA()</f>
        <v>#N/A</v>
      </c>
      <c r="AH157" t="e">
        <f>NA()</f>
        <v>#N/A</v>
      </c>
      <c r="AI157" t="e">
        <f>NA()</f>
        <v>#N/A</v>
      </c>
      <c r="AJ157" t="e">
        <f>NA()</f>
        <v>#N/A</v>
      </c>
      <c r="AK157" t="e">
        <f>NA()</f>
        <v>#N/A</v>
      </c>
      <c r="AL157" t="e">
        <f>NA()</f>
        <v>#N/A</v>
      </c>
      <c r="AM157" t="e">
        <f>NA()</f>
        <v>#N/A</v>
      </c>
      <c r="AN157" t="e">
        <f>NA()</f>
        <v>#N/A</v>
      </c>
      <c r="AO157" t="e">
        <f>NA()</f>
        <v>#N/A</v>
      </c>
      <c r="AP157" t="e">
        <f>NA()</f>
        <v>#N/A</v>
      </c>
      <c r="AQ157" t="e">
        <f>NA()</f>
        <v>#N/A</v>
      </c>
      <c r="AR157" t="e">
        <f>NA()</f>
        <v>#N/A</v>
      </c>
      <c r="AS157" t="e">
        <f>NA()</f>
        <v>#N/A</v>
      </c>
    </row>
    <row r="158" spans="1:45">
      <c r="A158" t="e">
        <f>NA()</f>
        <v>#N/A</v>
      </c>
      <c r="B158" t="e">
        <f>NA()</f>
        <v>#N/A</v>
      </c>
      <c r="C158" t="e">
        <f>NA()</f>
        <v>#N/A</v>
      </c>
      <c r="D158" t="e">
        <f>NA()</f>
        <v>#N/A</v>
      </c>
      <c r="E158" t="e">
        <f>NA()</f>
        <v>#N/A</v>
      </c>
      <c r="F158" t="e">
        <f>NA()</f>
        <v>#N/A</v>
      </c>
      <c r="G158" t="e">
        <f>NA()</f>
        <v>#N/A</v>
      </c>
      <c r="H158" t="e">
        <f>NA()</f>
        <v>#N/A</v>
      </c>
      <c r="I158" t="e">
        <f>NA()</f>
        <v>#N/A</v>
      </c>
      <c r="J158" t="e">
        <f>NA()</f>
        <v>#N/A</v>
      </c>
      <c r="K158" t="e">
        <f>NA()</f>
        <v>#N/A</v>
      </c>
      <c r="L158" t="e">
        <f>NA()</f>
        <v>#N/A</v>
      </c>
      <c r="M158" t="e">
        <f>NA()</f>
        <v>#N/A</v>
      </c>
      <c r="N158" t="e">
        <f>NA()</f>
        <v>#N/A</v>
      </c>
      <c r="O158" t="e">
        <f>NA()</f>
        <v>#N/A</v>
      </c>
      <c r="P158" t="e">
        <f>NA()</f>
        <v>#N/A</v>
      </c>
      <c r="Q158" t="e">
        <f>NA()</f>
        <v>#N/A</v>
      </c>
      <c r="R158" t="e">
        <f>NA()</f>
        <v>#N/A</v>
      </c>
      <c r="S158" t="e">
        <f>NA()</f>
        <v>#N/A</v>
      </c>
      <c r="T158" t="e">
        <f>NA()</f>
        <v>#N/A</v>
      </c>
      <c r="U158" t="e">
        <f>NA()</f>
        <v>#N/A</v>
      </c>
      <c r="V158" t="e">
        <f>NA()</f>
        <v>#N/A</v>
      </c>
      <c r="W158" t="e">
        <f>NA()</f>
        <v>#N/A</v>
      </c>
      <c r="X158" t="e">
        <f>NA()</f>
        <v>#N/A</v>
      </c>
      <c r="Y158">
        <v>1984</v>
      </c>
      <c r="Z158">
        <v>9.8674459999999993</v>
      </c>
      <c r="AA158">
        <v>10.224080000000001</v>
      </c>
      <c r="AB158" t="e">
        <f>NA()</f>
        <v>#N/A</v>
      </c>
      <c r="AC158" t="e">
        <f>NA()</f>
        <v>#N/A</v>
      </c>
      <c r="AD158" t="e">
        <f>NA()</f>
        <v>#N/A</v>
      </c>
      <c r="AE158" t="e">
        <f>NA()</f>
        <v>#N/A</v>
      </c>
      <c r="AF158" t="e">
        <f>NA()</f>
        <v>#N/A</v>
      </c>
      <c r="AG158" t="e">
        <f>NA()</f>
        <v>#N/A</v>
      </c>
      <c r="AH158" t="e">
        <f>NA()</f>
        <v>#N/A</v>
      </c>
      <c r="AI158" t="e">
        <f>NA()</f>
        <v>#N/A</v>
      </c>
      <c r="AJ158" t="e">
        <f>NA()</f>
        <v>#N/A</v>
      </c>
      <c r="AK158" t="e">
        <f>NA()</f>
        <v>#N/A</v>
      </c>
      <c r="AL158" t="e">
        <f>NA()</f>
        <v>#N/A</v>
      </c>
      <c r="AM158" t="e">
        <f>NA()</f>
        <v>#N/A</v>
      </c>
      <c r="AN158" t="e">
        <f>NA()</f>
        <v>#N/A</v>
      </c>
      <c r="AO158" t="e">
        <f>NA()</f>
        <v>#N/A</v>
      </c>
      <c r="AP158" t="e">
        <f>NA()</f>
        <v>#N/A</v>
      </c>
      <c r="AQ158" t="e">
        <f>NA()</f>
        <v>#N/A</v>
      </c>
      <c r="AR158" t="e">
        <f>NA()</f>
        <v>#N/A</v>
      </c>
      <c r="AS158" t="e">
        <f>NA()</f>
        <v>#N/A</v>
      </c>
    </row>
    <row r="159" spans="1:45">
      <c r="A159" t="e">
        <f>NA()</f>
        <v>#N/A</v>
      </c>
      <c r="B159" t="e">
        <f>NA()</f>
        <v>#N/A</v>
      </c>
      <c r="C159" t="e">
        <f>NA()</f>
        <v>#N/A</v>
      </c>
      <c r="D159" t="e">
        <f>NA()</f>
        <v>#N/A</v>
      </c>
      <c r="E159" t="e">
        <f>NA()</f>
        <v>#N/A</v>
      </c>
      <c r="F159" t="e">
        <f>NA()</f>
        <v>#N/A</v>
      </c>
      <c r="G159" t="e">
        <f>NA()</f>
        <v>#N/A</v>
      </c>
      <c r="H159" t="e">
        <f>NA()</f>
        <v>#N/A</v>
      </c>
      <c r="I159" t="e">
        <f>NA()</f>
        <v>#N/A</v>
      </c>
      <c r="J159" t="e">
        <f>NA()</f>
        <v>#N/A</v>
      </c>
      <c r="K159" t="e">
        <f>NA()</f>
        <v>#N/A</v>
      </c>
      <c r="L159" t="e">
        <f>NA()</f>
        <v>#N/A</v>
      </c>
      <c r="M159" t="e">
        <f>NA()</f>
        <v>#N/A</v>
      </c>
      <c r="N159" t="e">
        <f>NA()</f>
        <v>#N/A</v>
      </c>
      <c r="O159" t="e">
        <f>NA()</f>
        <v>#N/A</v>
      </c>
      <c r="P159" t="e">
        <f>NA()</f>
        <v>#N/A</v>
      </c>
      <c r="Q159" t="e">
        <f>NA()</f>
        <v>#N/A</v>
      </c>
      <c r="R159" t="e">
        <f>NA()</f>
        <v>#N/A</v>
      </c>
      <c r="S159" t="e">
        <f>NA()</f>
        <v>#N/A</v>
      </c>
      <c r="T159" t="e">
        <f>NA()</f>
        <v>#N/A</v>
      </c>
      <c r="U159" t="e">
        <f>NA()</f>
        <v>#N/A</v>
      </c>
      <c r="V159" t="e">
        <f>NA()</f>
        <v>#N/A</v>
      </c>
      <c r="W159" t="e">
        <f>NA()</f>
        <v>#N/A</v>
      </c>
      <c r="X159" t="e">
        <f>NA()</f>
        <v>#N/A</v>
      </c>
      <c r="Y159">
        <v>1985</v>
      </c>
      <c r="Z159">
        <v>9.879092</v>
      </c>
      <c r="AA159">
        <v>10.227790000000001</v>
      </c>
      <c r="AB159" t="e">
        <f>NA()</f>
        <v>#N/A</v>
      </c>
      <c r="AC159" t="e">
        <f>NA()</f>
        <v>#N/A</v>
      </c>
      <c r="AD159" t="e">
        <f>NA()</f>
        <v>#N/A</v>
      </c>
      <c r="AE159" t="e">
        <f>NA()</f>
        <v>#N/A</v>
      </c>
      <c r="AF159" t="e">
        <f>NA()</f>
        <v>#N/A</v>
      </c>
      <c r="AG159" t="e">
        <f>NA()</f>
        <v>#N/A</v>
      </c>
      <c r="AH159" t="e">
        <f>NA()</f>
        <v>#N/A</v>
      </c>
      <c r="AI159" t="e">
        <f>NA()</f>
        <v>#N/A</v>
      </c>
      <c r="AJ159" t="e">
        <f>NA()</f>
        <v>#N/A</v>
      </c>
      <c r="AK159" t="e">
        <f>NA()</f>
        <v>#N/A</v>
      </c>
      <c r="AL159" t="e">
        <f>NA()</f>
        <v>#N/A</v>
      </c>
      <c r="AM159" t="e">
        <f>NA()</f>
        <v>#N/A</v>
      </c>
      <c r="AN159" t="e">
        <f>NA()</f>
        <v>#N/A</v>
      </c>
      <c r="AO159" t="e">
        <f>NA()</f>
        <v>#N/A</v>
      </c>
      <c r="AP159" t="e">
        <f>NA()</f>
        <v>#N/A</v>
      </c>
      <c r="AQ159" t="e">
        <f>NA()</f>
        <v>#N/A</v>
      </c>
      <c r="AR159" t="e">
        <f>NA()</f>
        <v>#N/A</v>
      </c>
      <c r="AS159" t="e">
        <f>NA()</f>
        <v>#N/A</v>
      </c>
    </row>
    <row r="160" spans="1:45">
      <c r="A160" t="e">
        <f>NA()</f>
        <v>#N/A</v>
      </c>
      <c r="B160" t="e">
        <f>NA()</f>
        <v>#N/A</v>
      </c>
      <c r="C160" t="e">
        <f>NA()</f>
        <v>#N/A</v>
      </c>
      <c r="D160" t="e">
        <f>NA()</f>
        <v>#N/A</v>
      </c>
      <c r="E160" t="e">
        <f>NA()</f>
        <v>#N/A</v>
      </c>
      <c r="F160" t="e">
        <f>NA()</f>
        <v>#N/A</v>
      </c>
      <c r="G160" t="e">
        <f>NA()</f>
        <v>#N/A</v>
      </c>
      <c r="H160" t="e">
        <f>NA()</f>
        <v>#N/A</v>
      </c>
      <c r="I160" t="e">
        <f>NA()</f>
        <v>#N/A</v>
      </c>
      <c r="J160" t="e">
        <f>NA()</f>
        <v>#N/A</v>
      </c>
      <c r="K160" t="e">
        <f>NA()</f>
        <v>#N/A</v>
      </c>
      <c r="L160" t="e">
        <f>NA()</f>
        <v>#N/A</v>
      </c>
      <c r="M160" t="e">
        <f>NA()</f>
        <v>#N/A</v>
      </c>
      <c r="N160" t="e">
        <f>NA()</f>
        <v>#N/A</v>
      </c>
      <c r="O160" t="e">
        <f>NA()</f>
        <v>#N/A</v>
      </c>
      <c r="P160" t="e">
        <f>NA()</f>
        <v>#N/A</v>
      </c>
      <c r="Q160" t="e">
        <f>NA()</f>
        <v>#N/A</v>
      </c>
      <c r="R160" t="e">
        <f>NA()</f>
        <v>#N/A</v>
      </c>
      <c r="S160" t="e">
        <f>NA()</f>
        <v>#N/A</v>
      </c>
      <c r="T160" t="e">
        <f>NA()</f>
        <v>#N/A</v>
      </c>
      <c r="U160" t="e">
        <f>NA()</f>
        <v>#N/A</v>
      </c>
      <c r="V160" t="e">
        <f>NA()</f>
        <v>#N/A</v>
      </c>
      <c r="W160" t="e">
        <f>NA()</f>
        <v>#N/A</v>
      </c>
      <c r="X160" t="e">
        <f>NA()</f>
        <v>#N/A</v>
      </c>
      <c r="Y160">
        <v>1986</v>
      </c>
      <c r="Z160">
        <v>9.8984749999999995</v>
      </c>
      <c r="AA160">
        <v>10.237450000000001</v>
      </c>
      <c r="AB160" t="e">
        <f>NA()</f>
        <v>#N/A</v>
      </c>
      <c r="AC160" t="e">
        <f>NA()</f>
        <v>#N/A</v>
      </c>
      <c r="AD160" t="e">
        <f>NA()</f>
        <v>#N/A</v>
      </c>
      <c r="AE160" t="e">
        <f>NA()</f>
        <v>#N/A</v>
      </c>
      <c r="AF160" t="e">
        <f>NA()</f>
        <v>#N/A</v>
      </c>
      <c r="AG160" t="e">
        <f>NA()</f>
        <v>#N/A</v>
      </c>
      <c r="AH160" t="e">
        <f>NA()</f>
        <v>#N/A</v>
      </c>
      <c r="AI160" t="e">
        <f>NA()</f>
        <v>#N/A</v>
      </c>
      <c r="AJ160" t="e">
        <f>NA()</f>
        <v>#N/A</v>
      </c>
      <c r="AK160" t="e">
        <f>NA()</f>
        <v>#N/A</v>
      </c>
      <c r="AL160" t="e">
        <f>NA()</f>
        <v>#N/A</v>
      </c>
      <c r="AM160" t="e">
        <f>NA()</f>
        <v>#N/A</v>
      </c>
      <c r="AN160" t="e">
        <f>NA()</f>
        <v>#N/A</v>
      </c>
      <c r="AO160" t="e">
        <f>NA()</f>
        <v>#N/A</v>
      </c>
      <c r="AP160" t="e">
        <f>NA()</f>
        <v>#N/A</v>
      </c>
      <c r="AQ160" t="e">
        <f>NA()</f>
        <v>#N/A</v>
      </c>
      <c r="AR160" t="e">
        <f>NA()</f>
        <v>#N/A</v>
      </c>
      <c r="AS160" t="e">
        <f>NA()</f>
        <v>#N/A</v>
      </c>
    </row>
    <row r="161" spans="1:45">
      <c r="A161" t="e">
        <f>NA()</f>
        <v>#N/A</v>
      </c>
      <c r="B161" t="e">
        <f>NA()</f>
        <v>#N/A</v>
      </c>
      <c r="C161" t="e">
        <f>NA()</f>
        <v>#N/A</v>
      </c>
      <c r="D161" t="e">
        <f>NA()</f>
        <v>#N/A</v>
      </c>
      <c r="E161" t="e">
        <f>NA()</f>
        <v>#N/A</v>
      </c>
      <c r="F161" t="e">
        <f>NA()</f>
        <v>#N/A</v>
      </c>
      <c r="G161" t="e">
        <f>NA()</f>
        <v>#N/A</v>
      </c>
      <c r="H161" t="e">
        <f>NA()</f>
        <v>#N/A</v>
      </c>
      <c r="I161" t="e">
        <f>NA()</f>
        <v>#N/A</v>
      </c>
      <c r="J161" t="e">
        <f>NA()</f>
        <v>#N/A</v>
      </c>
      <c r="K161" t="e">
        <f>NA()</f>
        <v>#N/A</v>
      </c>
      <c r="L161" t="e">
        <f>NA()</f>
        <v>#N/A</v>
      </c>
      <c r="M161" t="e">
        <f>NA()</f>
        <v>#N/A</v>
      </c>
      <c r="N161" t="e">
        <f>NA()</f>
        <v>#N/A</v>
      </c>
      <c r="O161" t="e">
        <f>NA()</f>
        <v>#N/A</v>
      </c>
      <c r="P161" t="e">
        <f>NA()</f>
        <v>#N/A</v>
      </c>
      <c r="Q161" t="e">
        <f>NA()</f>
        <v>#N/A</v>
      </c>
      <c r="R161" t="e">
        <f>NA()</f>
        <v>#N/A</v>
      </c>
      <c r="S161" t="e">
        <f>NA()</f>
        <v>#N/A</v>
      </c>
      <c r="T161" t="e">
        <f>NA()</f>
        <v>#N/A</v>
      </c>
      <c r="U161" t="e">
        <f>NA()</f>
        <v>#N/A</v>
      </c>
      <c r="V161" t="e">
        <f>NA()</f>
        <v>#N/A</v>
      </c>
      <c r="W161" t="e">
        <f>NA()</f>
        <v>#N/A</v>
      </c>
      <c r="X161" t="e">
        <f>NA()</f>
        <v>#N/A</v>
      </c>
      <c r="Y161">
        <v>1987</v>
      </c>
      <c r="Z161">
        <v>9.9123479999999997</v>
      </c>
      <c r="AA161">
        <v>10.245660000000001</v>
      </c>
      <c r="AB161" t="e">
        <f>NA()</f>
        <v>#N/A</v>
      </c>
      <c r="AC161" t="e">
        <f>NA()</f>
        <v>#N/A</v>
      </c>
      <c r="AD161" t="e">
        <f>NA()</f>
        <v>#N/A</v>
      </c>
      <c r="AE161" t="e">
        <f>NA()</f>
        <v>#N/A</v>
      </c>
      <c r="AF161" t="e">
        <f>NA()</f>
        <v>#N/A</v>
      </c>
      <c r="AG161" t="e">
        <f>NA()</f>
        <v>#N/A</v>
      </c>
      <c r="AH161" t="e">
        <f>NA()</f>
        <v>#N/A</v>
      </c>
      <c r="AI161" t="e">
        <f>NA()</f>
        <v>#N/A</v>
      </c>
      <c r="AJ161" t="e">
        <f>NA()</f>
        <v>#N/A</v>
      </c>
      <c r="AK161" t="e">
        <f>NA()</f>
        <v>#N/A</v>
      </c>
      <c r="AL161" t="e">
        <f>NA()</f>
        <v>#N/A</v>
      </c>
      <c r="AM161" t="e">
        <f>NA()</f>
        <v>#N/A</v>
      </c>
      <c r="AN161" t="e">
        <f>NA()</f>
        <v>#N/A</v>
      </c>
      <c r="AO161" t="e">
        <f>NA()</f>
        <v>#N/A</v>
      </c>
      <c r="AP161" t="e">
        <f>NA()</f>
        <v>#N/A</v>
      </c>
      <c r="AQ161" t="e">
        <f>NA()</f>
        <v>#N/A</v>
      </c>
      <c r="AR161" t="e">
        <f>NA()</f>
        <v>#N/A</v>
      </c>
      <c r="AS161" t="e">
        <f>NA()</f>
        <v>#N/A</v>
      </c>
    </row>
    <row r="162" spans="1:45">
      <c r="A162" t="e">
        <f>NA()</f>
        <v>#N/A</v>
      </c>
      <c r="B162" t="e">
        <f>NA()</f>
        <v>#N/A</v>
      </c>
      <c r="C162" t="e">
        <f>NA()</f>
        <v>#N/A</v>
      </c>
      <c r="D162" t="e">
        <f>NA()</f>
        <v>#N/A</v>
      </c>
      <c r="E162" t="e">
        <f>NA()</f>
        <v>#N/A</v>
      </c>
      <c r="F162" t="e">
        <f>NA()</f>
        <v>#N/A</v>
      </c>
      <c r="G162" t="e">
        <f>NA()</f>
        <v>#N/A</v>
      </c>
      <c r="H162" t="e">
        <f>NA()</f>
        <v>#N/A</v>
      </c>
      <c r="I162" t="e">
        <f>NA()</f>
        <v>#N/A</v>
      </c>
      <c r="J162" t="e">
        <f>NA()</f>
        <v>#N/A</v>
      </c>
      <c r="K162" t="e">
        <f>NA()</f>
        <v>#N/A</v>
      </c>
      <c r="L162" t="e">
        <f>NA()</f>
        <v>#N/A</v>
      </c>
      <c r="M162" t="e">
        <f>NA()</f>
        <v>#N/A</v>
      </c>
      <c r="N162" t="e">
        <f>NA()</f>
        <v>#N/A</v>
      </c>
      <c r="O162" t="e">
        <f>NA()</f>
        <v>#N/A</v>
      </c>
      <c r="P162" t="e">
        <f>NA()</f>
        <v>#N/A</v>
      </c>
      <c r="Q162" t="e">
        <f>NA()</f>
        <v>#N/A</v>
      </c>
      <c r="R162" t="e">
        <f>NA()</f>
        <v>#N/A</v>
      </c>
      <c r="S162" t="e">
        <f>NA()</f>
        <v>#N/A</v>
      </c>
      <c r="T162" t="e">
        <f>NA()</f>
        <v>#N/A</v>
      </c>
      <c r="U162" t="e">
        <f>NA()</f>
        <v>#N/A</v>
      </c>
      <c r="V162" t="e">
        <f>NA()</f>
        <v>#N/A</v>
      </c>
      <c r="W162" t="e">
        <f>NA()</f>
        <v>#N/A</v>
      </c>
      <c r="X162" t="e">
        <f>NA()</f>
        <v>#N/A</v>
      </c>
      <c r="Y162">
        <v>1988</v>
      </c>
      <c r="Z162">
        <v>9.9442450000000004</v>
      </c>
      <c r="AA162">
        <v>10.24544</v>
      </c>
      <c r="AB162" t="e">
        <f>NA()</f>
        <v>#N/A</v>
      </c>
      <c r="AC162" t="e">
        <f>NA()</f>
        <v>#N/A</v>
      </c>
      <c r="AD162" t="e">
        <f>NA()</f>
        <v>#N/A</v>
      </c>
      <c r="AE162" t="e">
        <f>NA()</f>
        <v>#N/A</v>
      </c>
      <c r="AF162" t="e">
        <f>NA()</f>
        <v>#N/A</v>
      </c>
      <c r="AG162" t="e">
        <f>NA()</f>
        <v>#N/A</v>
      </c>
      <c r="AH162" t="e">
        <f>NA()</f>
        <v>#N/A</v>
      </c>
      <c r="AI162" t="e">
        <f>NA()</f>
        <v>#N/A</v>
      </c>
      <c r="AJ162" t="e">
        <f>NA()</f>
        <v>#N/A</v>
      </c>
      <c r="AK162" t="e">
        <f>NA()</f>
        <v>#N/A</v>
      </c>
      <c r="AL162" t="e">
        <f>NA()</f>
        <v>#N/A</v>
      </c>
      <c r="AM162" t="e">
        <f>NA()</f>
        <v>#N/A</v>
      </c>
      <c r="AN162" t="e">
        <f>NA()</f>
        <v>#N/A</v>
      </c>
      <c r="AO162" t="e">
        <f>NA()</f>
        <v>#N/A</v>
      </c>
      <c r="AP162" t="e">
        <f>NA()</f>
        <v>#N/A</v>
      </c>
      <c r="AQ162" t="e">
        <f>NA()</f>
        <v>#N/A</v>
      </c>
      <c r="AR162" t="e">
        <f>NA()</f>
        <v>#N/A</v>
      </c>
      <c r="AS162" t="e">
        <f>NA()</f>
        <v>#N/A</v>
      </c>
    </row>
    <row r="163" spans="1:45">
      <c r="A163" t="e">
        <f>NA()</f>
        <v>#N/A</v>
      </c>
      <c r="B163" t="e">
        <f>NA()</f>
        <v>#N/A</v>
      </c>
      <c r="C163" t="e">
        <f>NA()</f>
        <v>#N/A</v>
      </c>
      <c r="D163" t="e">
        <f>NA()</f>
        <v>#N/A</v>
      </c>
      <c r="E163" t="e">
        <f>NA()</f>
        <v>#N/A</v>
      </c>
      <c r="F163" t="e">
        <f>NA()</f>
        <v>#N/A</v>
      </c>
      <c r="G163" t="e">
        <f>NA()</f>
        <v>#N/A</v>
      </c>
      <c r="H163" t="e">
        <f>NA()</f>
        <v>#N/A</v>
      </c>
      <c r="I163" t="e">
        <f>NA()</f>
        <v>#N/A</v>
      </c>
      <c r="J163" t="e">
        <f>NA()</f>
        <v>#N/A</v>
      </c>
      <c r="K163" t="e">
        <f>NA()</f>
        <v>#N/A</v>
      </c>
      <c r="L163" t="e">
        <f>NA()</f>
        <v>#N/A</v>
      </c>
      <c r="M163" t="e">
        <f>NA()</f>
        <v>#N/A</v>
      </c>
      <c r="N163" t="e">
        <f>NA()</f>
        <v>#N/A</v>
      </c>
      <c r="O163" t="e">
        <f>NA()</f>
        <v>#N/A</v>
      </c>
      <c r="P163" t="e">
        <f>NA()</f>
        <v>#N/A</v>
      </c>
      <c r="Q163" t="e">
        <f>NA()</f>
        <v>#N/A</v>
      </c>
      <c r="R163" t="e">
        <f>NA()</f>
        <v>#N/A</v>
      </c>
      <c r="S163" t="e">
        <f>NA()</f>
        <v>#N/A</v>
      </c>
      <c r="T163" t="e">
        <f>NA()</f>
        <v>#N/A</v>
      </c>
      <c r="U163" t="e">
        <f>NA()</f>
        <v>#N/A</v>
      </c>
      <c r="V163" t="e">
        <f>NA()</f>
        <v>#N/A</v>
      </c>
      <c r="W163" t="e">
        <f>NA()</f>
        <v>#N/A</v>
      </c>
      <c r="X163" t="e">
        <f>NA()</f>
        <v>#N/A</v>
      </c>
      <c r="Y163">
        <v>1989</v>
      </c>
      <c r="Z163">
        <v>9.9324639999999995</v>
      </c>
      <c r="AA163">
        <v>10.255509999999999</v>
      </c>
      <c r="AB163" t="e">
        <f>NA()</f>
        <v>#N/A</v>
      </c>
      <c r="AC163" t="e">
        <f>NA()</f>
        <v>#N/A</v>
      </c>
      <c r="AD163" t="e">
        <f>NA()</f>
        <v>#N/A</v>
      </c>
      <c r="AE163" t="e">
        <f>NA()</f>
        <v>#N/A</v>
      </c>
      <c r="AF163" t="e">
        <f>NA()</f>
        <v>#N/A</v>
      </c>
      <c r="AG163" t="e">
        <f>NA()</f>
        <v>#N/A</v>
      </c>
      <c r="AH163" t="e">
        <f>NA()</f>
        <v>#N/A</v>
      </c>
      <c r="AI163" t="e">
        <f>NA()</f>
        <v>#N/A</v>
      </c>
      <c r="AJ163" t="e">
        <f>NA()</f>
        <v>#N/A</v>
      </c>
      <c r="AK163" t="e">
        <f>NA()</f>
        <v>#N/A</v>
      </c>
      <c r="AL163" t="e">
        <f>NA()</f>
        <v>#N/A</v>
      </c>
      <c r="AM163" t="e">
        <f>NA()</f>
        <v>#N/A</v>
      </c>
      <c r="AN163" t="e">
        <f>NA()</f>
        <v>#N/A</v>
      </c>
      <c r="AO163" t="e">
        <f>NA()</f>
        <v>#N/A</v>
      </c>
      <c r="AP163" t="e">
        <f>NA()</f>
        <v>#N/A</v>
      </c>
      <c r="AQ163" t="e">
        <f>NA()</f>
        <v>#N/A</v>
      </c>
      <c r="AR163" t="e">
        <f>NA()</f>
        <v>#N/A</v>
      </c>
      <c r="AS163" t="e">
        <f>NA()</f>
        <v>#N/A</v>
      </c>
    </row>
    <row r="164" spans="1:45">
      <c r="A164" t="e">
        <f>NA()</f>
        <v>#N/A</v>
      </c>
      <c r="B164" t="e">
        <f>NA()</f>
        <v>#N/A</v>
      </c>
      <c r="C164" t="e">
        <f>NA()</f>
        <v>#N/A</v>
      </c>
      <c r="D164" t="e">
        <f>NA()</f>
        <v>#N/A</v>
      </c>
      <c r="E164" t="e">
        <f>NA()</f>
        <v>#N/A</v>
      </c>
      <c r="F164" t="e">
        <f>NA()</f>
        <v>#N/A</v>
      </c>
      <c r="G164" t="e">
        <f>NA()</f>
        <v>#N/A</v>
      </c>
      <c r="H164" t="e">
        <f>NA()</f>
        <v>#N/A</v>
      </c>
      <c r="I164" t="e">
        <f>NA()</f>
        <v>#N/A</v>
      </c>
      <c r="J164" t="e">
        <f>NA()</f>
        <v>#N/A</v>
      </c>
      <c r="K164" t="e">
        <f>NA()</f>
        <v>#N/A</v>
      </c>
      <c r="L164" t="e">
        <f>NA()</f>
        <v>#N/A</v>
      </c>
      <c r="M164" t="e">
        <f>NA()</f>
        <v>#N/A</v>
      </c>
      <c r="N164" t="e">
        <f>NA()</f>
        <v>#N/A</v>
      </c>
      <c r="O164" t="e">
        <f>NA()</f>
        <v>#N/A</v>
      </c>
      <c r="P164" t="e">
        <f>NA()</f>
        <v>#N/A</v>
      </c>
      <c r="Q164" t="e">
        <f>NA()</f>
        <v>#N/A</v>
      </c>
      <c r="R164" t="e">
        <f>NA()</f>
        <v>#N/A</v>
      </c>
      <c r="S164" t="e">
        <f>NA()</f>
        <v>#N/A</v>
      </c>
      <c r="T164" t="e">
        <f>NA()</f>
        <v>#N/A</v>
      </c>
      <c r="U164" t="e">
        <f>NA()</f>
        <v>#N/A</v>
      </c>
      <c r="V164" t="e">
        <f>NA()</f>
        <v>#N/A</v>
      </c>
      <c r="W164" t="e">
        <f>NA()</f>
        <v>#N/A</v>
      </c>
      <c r="X164" t="e">
        <f>NA()</f>
        <v>#N/A</v>
      </c>
      <c r="Y164">
        <v>1990</v>
      </c>
      <c r="Z164">
        <v>9.9677760000000006</v>
      </c>
      <c r="AA164">
        <v>10.29171</v>
      </c>
      <c r="AB164" t="e">
        <f>NA()</f>
        <v>#N/A</v>
      </c>
      <c r="AC164" t="e">
        <f>NA()</f>
        <v>#N/A</v>
      </c>
      <c r="AD164" t="e">
        <f>NA()</f>
        <v>#N/A</v>
      </c>
      <c r="AE164" t="e">
        <f>NA()</f>
        <v>#N/A</v>
      </c>
      <c r="AF164" t="e">
        <f>NA()</f>
        <v>#N/A</v>
      </c>
      <c r="AG164" t="e">
        <f>NA()</f>
        <v>#N/A</v>
      </c>
      <c r="AH164" t="e">
        <f>NA()</f>
        <v>#N/A</v>
      </c>
      <c r="AI164" t="e">
        <f>NA()</f>
        <v>#N/A</v>
      </c>
      <c r="AJ164" t="e">
        <f>NA()</f>
        <v>#N/A</v>
      </c>
      <c r="AK164" t="e">
        <f>NA()</f>
        <v>#N/A</v>
      </c>
      <c r="AL164" t="e">
        <f>NA()</f>
        <v>#N/A</v>
      </c>
      <c r="AM164" t="e">
        <f>NA()</f>
        <v>#N/A</v>
      </c>
      <c r="AN164" t="e">
        <f>NA()</f>
        <v>#N/A</v>
      </c>
      <c r="AO164" t="e">
        <f>NA()</f>
        <v>#N/A</v>
      </c>
      <c r="AP164" t="e">
        <f>NA()</f>
        <v>#N/A</v>
      </c>
      <c r="AQ164" t="e">
        <f>NA()</f>
        <v>#N/A</v>
      </c>
      <c r="AR164" t="e">
        <f>NA()</f>
        <v>#N/A</v>
      </c>
      <c r="AS164" t="e">
        <f>NA()</f>
        <v>#N/A</v>
      </c>
    </row>
    <row r="165" spans="1:45">
      <c r="A165" t="e">
        <f>NA()</f>
        <v>#N/A</v>
      </c>
      <c r="B165" t="e">
        <f>NA()</f>
        <v>#N/A</v>
      </c>
      <c r="C165" t="e">
        <f>NA()</f>
        <v>#N/A</v>
      </c>
      <c r="D165" t="e">
        <f>NA()</f>
        <v>#N/A</v>
      </c>
      <c r="E165" t="e">
        <f>NA()</f>
        <v>#N/A</v>
      </c>
      <c r="F165" t="e">
        <f>NA()</f>
        <v>#N/A</v>
      </c>
      <c r="G165" t="e">
        <f>NA()</f>
        <v>#N/A</v>
      </c>
      <c r="H165" t="e">
        <f>NA()</f>
        <v>#N/A</v>
      </c>
      <c r="I165" t="e">
        <f>NA()</f>
        <v>#N/A</v>
      </c>
      <c r="J165" t="e">
        <f>NA()</f>
        <v>#N/A</v>
      </c>
      <c r="K165" t="e">
        <f>NA()</f>
        <v>#N/A</v>
      </c>
      <c r="L165" t="e">
        <f>NA()</f>
        <v>#N/A</v>
      </c>
      <c r="M165" t="e">
        <f>NA()</f>
        <v>#N/A</v>
      </c>
      <c r="N165" t="e">
        <f>NA()</f>
        <v>#N/A</v>
      </c>
      <c r="O165" t="e">
        <f>NA()</f>
        <v>#N/A</v>
      </c>
      <c r="P165" t="e">
        <f>NA()</f>
        <v>#N/A</v>
      </c>
      <c r="Q165" t="e">
        <f>NA()</f>
        <v>#N/A</v>
      </c>
      <c r="R165" t="e">
        <f>NA()</f>
        <v>#N/A</v>
      </c>
      <c r="S165" t="e">
        <f>NA()</f>
        <v>#N/A</v>
      </c>
      <c r="T165" t="e">
        <f>NA()</f>
        <v>#N/A</v>
      </c>
      <c r="U165" t="e">
        <f>NA()</f>
        <v>#N/A</v>
      </c>
      <c r="V165" t="e">
        <f>NA()</f>
        <v>#N/A</v>
      </c>
      <c r="W165" t="e">
        <f>NA()</f>
        <v>#N/A</v>
      </c>
      <c r="X165" t="e">
        <f>NA()</f>
        <v>#N/A</v>
      </c>
      <c r="Y165">
        <v>1991</v>
      </c>
      <c r="Z165">
        <v>9.9179329999999997</v>
      </c>
      <c r="AA165">
        <v>10.35824</v>
      </c>
      <c r="AB165" t="e">
        <f>NA()</f>
        <v>#N/A</v>
      </c>
      <c r="AC165" t="e">
        <f>NA()</f>
        <v>#N/A</v>
      </c>
      <c r="AD165" t="e">
        <f>NA()</f>
        <v>#N/A</v>
      </c>
      <c r="AE165" t="e">
        <f>NA()</f>
        <v>#N/A</v>
      </c>
      <c r="AF165" t="e">
        <f>NA()</f>
        <v>#N/A</v>
      </c>
      <c r="AG165" t="e">
        <f>NA()</f>
        <v>#N/A</v>
      </c>
      <c r="AH165" t="e">
        <f>NA()</f>
        <v>#N/A</v>
      </c>
      <c r="AI165" t="e">
        <f>NA()</f>
        <v>#N/A</v>
      </c>
      <c r="AJ165" t="e">
        <f>NA()</f>
        <v>#N/A</v>
      </c>
      <c r="AK165" t="e">
        <f>NA()</f>
        <v>#N/A</v>
      </c>
      <c r="AL165" t="e">
        <f>NA()</f>
        <v>#N/A</v>
      </c>
      <c r="AM165" t="e">
        <f>NA()</f>
        <v>#N/A</v>
      </c>
      <c r="AN165" t="e">
        <f>NA()</f>
        <v>#N/A</v>
      </c>
      <c r="AO165" t="e">
        <f>NA()</f>
        <v>#N/A</v>
      </c>
      <c r="AP165" t="e">
        <f>NA()</f>
        <v>#N/A</v>
      </c>
      <c r="AQ165" t="e">
        <f>NA()</f>
        <v>#N/A</v>
      </c>
      <c r="AR165" t="e">
        <f>NA()</f>
        <v>#N/A</v>
      </c>
      <c r="AS165" t="e">
        <f>NA()</f>
        <v>#N/A</v>
      </c>
    </row>
  </sheetData>
  <phoneticPr fontId="1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indexed="8"/>
  </sheetPr>
  <dimension ref="A1:O191"/>
  <sheetViews>
    <sheetView workbookViewId="0">
      <pane xSplit="4" ySplit="1" topLeftCell="E46" activePane="bottomRight" state="frozen"/>
      <selection pane="topRight" activeCell="E1" sqref="E1"/>
      <selection pane="bottomLeft" activeCell="A2" sqref="A2"/>
      <selection pane="bottomRight" activeCell="E50" sqref="E50"/>
    </sheetView>
  </sheetViews>
  <sheetFormatPr defaultRowHeight="12.75"/>
  <sheetData>
    <row r="1" spans="1:15">
      <c r="F1" s="22" t="s">
        <v>532</v>
      </c>
      <c r="G1" s="22"/>
      <c r="H1" s="22"/>
      <c r="I1" s="22"/>
      <c r="J1" s="22"/>
      <c r="K1" s="22"/>
      <c r="L1" s="22" t="s">
        <v>533</v>
      </c>
      <c r="M1" s="22"/>
      <c r="N1" s="22"/>
      <c r="O1" s="22"/>
    </row>
    <row r="2" spans="1:15">
      <c r="F2" t="s">
        <v>534</v>
      </c>
      <c r="G2" t="s">
        <v>535</v>
      </c>
      <c r="H2" t="s">
        <v>536</v>
      </c>
      <c r="I2" t="s">
        <v>537</v>
      </c>
      <c r="J2" t="s">
        <v>538</v>
      </c>
      <c r="K2" t="s">
        <v>539</v>
      </c>
      <c r="L2" t="s">
        <v>540</v>
      </c>
      <c r="M2" t="s">
        <v>541</v>
      </c>
    </row>
    <row r="3" spans="1:15">
      <c r="A3" t="s">
        <v>173</v>
      </c>
      <c r="B3" t="s">
        <v>4</v>
      </c>
      <c r="C3" t="s">
        <v>542</v>
      </c>
      <c r="D3" t="s">
        <v>211</v>
      </c>
      <c r="E3" t="s">
        <v>543</v>
      </c>
      <c r="F3" t="s">
        <v>544</v>
      </c>
      <c r="G3" t="s">
        <v>545</v>
      </c>
      <c r="H3" t="s">
        <v>546</v>
      </c>
      <c r="I3" t="s">
        <v>547</v>
      </c>
      <c r="J3" t="s">
        <v>548</v>
      </c>
      <c r="K3" t="s">
        <v>549</v>
      </c>
      <c r="L3" t="s">
        <v>550</v>
      </c>
      <c r="M3" t="s">
        <v>551</v>
      </c>
      <c r="N3" t="s">
        <v>552</v>
      </c>
      <c r="O3" t="s">
        <v>553</v>
      </c>
    </row>
    <row r="4" spans="1:15">
      <c r="A4">
        <v>1</v>
      </c>
      <c r="B4" t="s">
        <v>6</v>
      </c>
      <c r="C4" t="s">
        <v>5</v>
      </c>
      <c r="D4" t="s">
        <v>5</v>
      </c>
      <c r="E4">
        <v>2000</v>
      </c>
      <c r="F4">
        <v>25888.796999999999</v>
      </c>
      <c r="G4">
        <v>478.10434972746901</v>
      </c>
      <c r="H4" t="e">
        <v>#N/A</v>
      </c>
      <c r="I4">
        <v>1073.805122706561</v>
      </c>
      <c r="J4" t="e">
        <v>#N/A</v>
      </c>
      <c r="K4" t="e">
        <v>#N/A</v>
      </c>
      <c r="L4">
        <v>1.744</v>
      </c>
      <c r="M4">
        <v>0.82554459110022049</v>
      </c>
      <c r="N4" t="e">
        <v>#N/A</v>
      </c>
      <c r="O4">
        <v>0</v>
      </c>
    </row>
    <row r="5" spans="1:15">
      <c r="A5">
        <v>2</v>
      </c>
      <c r="B5" t="s">
        <v>8</v>
      </c>
      <c r="C5" t="s">
        <v>7</v>
      </c>
      <c r="D5" t="s">
        <v>7</v>
      </c>
      <c r="E5">
        <v>2000</v>
      </c>
      <c r="F5">
        <v>3473.835</v>
      </c>
      <c r="G5">
        <v>3796.8052074177899</v>
      </c>
      <c r="H5">
        <v>7637.9102945439399</v>
      </c>
      <c r="I5">
        <v>22908.112344124856</v>
      </c>
      <c r="J5">
        <v>46083.509040685727</v>
      </c>
      <c r="K5">
        <v>0.49709999999999965</v>
      </c>
      <c r="L5" t="e">
        <v>#N/A</v>
      </c>
      <c r="M5" t="e">
        <v>#N/A</v>
      </c>
      <c r="N5" t="e">
        <v>#N/A</v>
      </c>
      <c r="O5">
        <v>0</v>
      </c>
    </row>
    <row r="6" spans="1:15">
      <c r="A6">
        <v>3</v>
      </c>
      <c r="B6" t="s">
        <v>364</v>
      </c>
      <c r="C6" t="s">
        <v>554</v>
      </c>
      <c r="D6" t="s">
        <v>9</v>
      </c>
      <c r="E6">
        <v>2000</v>
      </c>
      <c r="F6">
        <v>31193.917000000001</v>
      </c>
      <c r="G6">
        <v>5753.12199624187</v>
      </c>
      <c r="H6">
        <v>16661.227906869</v>
      </c>
      <c r="I6">
        <v>13884.324425189849</v>
      </c>
      <c r="J6">
        <v>40209.453881233247</v>
      </c>
      <c r="K6">
        <v>0.34530000000000027</v>
      </c>
      <c r="L6">
        <v>5.367</v>
      </c>
      <c r="M6">
        <v>1.6405359709504574</v>
      </c>
      <c r="N6">
        <v>6580.6083601253522</v>
      </c>
      <c r="O6">
        <v>1</v>
      </c>
    </row>
    <row r="7" spans="1:15">
      <c r="A7">
        <v>4</v>
      </c>
      <c r="B7" t="s">
        <v>365</v>
      </c>
      <c r="C7" t="s">
        <v>555</v>
      </c>
      <c r="D7" t="s">
        <v>10</v>
      </c>
      <c r="E7">
        <v>2000</v>
      </c>
      <c r="F7">
        <v>10132.376</v>
      </c>
      <c r="G7">
        <v>1974.97738819458</v>
      </c>
      <c r="H7">
        <v>4365.5556768226897</v>
      </c>
      <c r="I7" t="e">
        <v>#VALUE!</v>
      </c>
      <c r="J7" t="e">
        <v>#VALUE!</v>
      </c>
      <c r="K7">
        <v>0.45239999999999891</v>
      </c>
      <c r="L7">
        <v>3.0990000000000002</v>
      </c>
      <c r="M7">
        <v>1.0854536389201004</v>
      </c>
      <c r="N7" t="e">
        <v>#VALUE!</v>
      </c>
      <c r="O7">
        <v>0</v>
      </c>
    </row>
    <row r="8" spans="1:15">
      <c r="A8">
        <v>5</v>
      </c>
      <c r="B8" t="s">
        <v>366</v>
      </c>
      <c r="C8" t="s">
        <v>11</v>
      </c>
      <c r="D8" t="s">
        <v>11</v>
      </c>
      <c r="E8">
        <v>2000</v>
      </c>
      <c r="F8">
        <v>37497.728000000003</v>
      </c>
      <c r="G8">
        <v>11331.958041341901</v>
      </c>
      <c r="H8">
        <v>27980.1433119553</v>
      </c>
      <c r="I8">
        <v>33010.204506578666</v>
      </c>
      <c r="J8">
        <v>81506.677794021365</v>
      </c>
      <c r="K8">
        <v>0.40500000000000003</v>
      </c>
      <c r="L8">
        <v>8.8290000000000006</v>
      </c>
      <c r="M8">
        <v>2.5599814183292717</v>
      </c>
      <c r="N8">
        <v>6455.155985441731</v>
      </c>
      <c r="O8">
        <v>1</v>
      </c>
    </row>
    <row r="9" spans="1:15">
      <c r="A9">
        <v>6</v>
      </c>
      <c r="B9" t="s">
        <v>367</v>
      </c>
      <c r="C9" t="s">
        <v>12</v>
      </c>
      <c r="D9" t="s">
        <v>12</v>
      </c>
      <c r="E9">
        <v>2000</v>
      </c>
      <c r="F9">
        <v>3344.3359999999998</v>
      </c>
      <c r="G9">
        <v>3471.40896749384</v>
      </c>
      <c r="H9">
        <v>6833.48221947606</v>
      </c>
      <c r="I9">
        <v>3455.8645947849077</v>
      </c>
      <c r="J9">
        <v>6802.8830606002093</v>
      </c>
      <c r="K9">
        <v>0.50800000000000023</v>
      </c>
      <c r="L9" t="e">
        <v>#N/A</v>
      </c>
      <c r="M9" t="e">
        <v>#N/A</v>
      </c>
      <c r="N9" t="e">
        <v>#N/A</v>
      </c>
      <c r="O9">
        <v>0</v>
      </c>
    </row>
    <row r="10" spans="1:15">
      <c r="A10">
        <v>7</v>
      </c>
      <c r="B10" t="s">
        <v>368</v>
      </c>
      <c r="C10" t="s">
        <v>14</v>
      </c>
      <c r="D10" t="s">
        <v>13</v>
      </c>
      <c r="E10">
        <v>2000</v>
      </c>
      <c r="F10">
        <v>19071.46</v>
      </c>
      <c r="G10">
        <v>25834.539706912001</v>
      </c>
      <c r="H10">
        <v>50606.346144783703</v>
      </c>
      <c r="I10">
        <v>97574.601810745866</v>
      </c>
      <c r="J10">
        <v>191135.36103965947</v>
      </c>
      <c r="K10">
        <v>0.5104999999999984</v>
      </c>
      <c r="L10">
        <v>10.922000000000001</v>
      </c>
      <c r="M10">
        <v>2.5599814183292717</v>
      </c>
      <c r="N10">
        <v>10273.232676751128</v>
      </c>
      <c r="O10">
        <v>1</v>
      </c>
    </row>
    <row r="11" spans="1:15">
      <c r="A11">
        <v>8</v>
      </c>
      <c r="B11" t="s">
        <v>369</v>
      </c>
      <c r="C11" t="s">
        <v>558</v>
      </c>
      <c r="D11" t="s">
        <v>14</v>
      </c>
      <c r="E11">
        <v>2000</v>
      </c>
      <c r="F11">
        <v>8096.2460000000001</v>
      </c>
      <c r="G11">
        <v>26999.766760593899</v>
      </c>
      <c r="H11">
        <v>58441.053594359197</v>
      </c>
      <c r="I11">
        <v>110379.75065339405</v>
      </c>
      <c r="J11">
        <v>238917.20920648109</v>
      </c>
      <c r="K11">
        <v>0.46199999999999913</v>
      </c>
      <c r="L11">
        <v>8.3539999999999992</v>
      </c>
      <c r="M11">
        <v>2.5599814183292717</v>
      </c>
      <c r="N11">
        <v>11409.856386296882</v>
      </c>
      <c r="O11">
        <v>1</v>
      </c>
    </row>
    <row r="12" spans="1:15">
      <c r="A12">
        <v>9</v>
      </c>
      <c r="B12" t="s">
        <v>370</v>
      </c>
      <c r="C12" t="s">
        <v>15</v>
      </c>
      <c r="D12" t="s">
        <v>15</v>
      </c>
      <c r="E12">
        <v>2000</v>
      </c>
      <c r="F12">
        <v>7748.1629999999996</v>
      </c>
      <c r="G12">
        <v>3590.96762175495</v>
      </c>
      <c r="H12">
        <v>7965.7666853481596</v>
      </c>
      <c r="I12">
        <v>4209.6594706336009</v>
      </c>
      <c r="J12">
        <v>9338.1975834818131</v>
      </c>
      <c r="K12">
        <v>0.45079999999999992</v>
      </c>
      <c r="L12" t="e">
        <v>#N/A</v>
      </c>
      <c r="M12" t="e">
        <v>#N/A</v>
      </c>
      <c r="N12" t="e">
        <v>#N/A</v>
      </c>
      <c r="O12">
        <v>0</v>
      </c>
    </row>
    <row r="13" spans="1:15">
      <c r="A13">
        <v>10</v>
      </c>
      <c r="B13" t="s">
        <v>371</v>
      </c>
      <c r="C13" t="s">
        <v>563</v>
      </c>
      <c r="D13" t="s">
        <v>16</v>
      </c>
      <c r="E13">
        <v>2000</v>
      </c>
      <c r="F13">
        <v>130406.594</v>
      </c>
      <c r="G13">
        <v>1851.1562326538301</v>
      </c>
      <c r="H13">
        <v>3654.8000644695599</v>
      </c>
      <c r="I13">
        <v>2286.9720718544963</v>
      </c>
      <c r="J13">
        <v>4515.2459464057229</v>
      </c>
      <c r="K13">
        <v>0.50649999999999951</v>
      </c>
      <c r="L13">
        <v>2.58</v>
      </c>
      <c r="M13">
        <v>0.97741885828030783</v>
      </c>
      <c r="N13">
        <v>3369.4516084677643</v>
      </c>
      <c r="O13">
        <v>1</v>
      </c>
    </row>
    <row r="14" spans="1:15">
      <c r="A14">
        <v>11</v>
      </c>
      <c r="B14" t="s">
        <v>372</v>
      </c>
      <c r="C14" t="s">
        <v>566</v>
      </c>
      <c r="D14" t="s">
        <v>17</v>
      </c>
      <c r="E14">
        <v>2000</v>
      </c>
      <c r="F14">
        <v>10366.718999999999</v>
      </c>
      <c r="G14">
        <v>10005.066866045699</v>
      </c>
      <c r="H14">
        <v>18838.386115695099</v>
      </c>
      <c r="I14">
        <v>15207.151752258211</v>
      </c>
      <c r="J14">
        <v>28633.311527505484</v>
      </c>
      <c r="K14">
        <v>0.53110000000000168</v>
      </c>
      <c r="L14" t="e">
        <v>#N/A</v>
      </c>
      <c r="M14" t="e">
        <v>#N/A</v>
      </c>
      <c r="N14" t="e">
        <v>#N/A</v>
      </c>
      <c r="O14">
        <v>0</v>
      </c>
    </row>
    <row r="15" spans="1:15">
      <c r="A15">
        <v>12</v>
      </c>
      <c r="B15" t="s">
        <v>375</v>
      </c>
      <c r="C15" t="s">
        <v>20</v>
      </c>
      <c r="D15" t="s">
        <v>20</v>
      </c>
      <c r="E15">
        <v>2000</v>
      </c>
      <c r="F15">
        <v>6428.3959999999997</v>
      </c>
      <c r="G15">
        <v>1251.47350600293</v>
      </c>
      <c r="H15">
        <v>2768.7466946967502</v>
      </c>
      <c r="I15">
        <v>1578.5672995185203</v>
      </c>
      <c r="J15">
        <v>3492.4055299082338</v>
      </c>
      <c r="K15">
        <v>0.45199999999999962</v>
      </c>
      <c r="L15">
        <v>2.335</v>
      </c>
      <c r="M15">
        <v>0.93022387127742234</v>
      </c>
      <c r="N15">
        <v>2654.774100004548</v>
      </c>
      <c r="O15">
        <v>1</v>
      </c>
    </row>
    <row r="16" spans="1:15">
      <c r="A16">
        <v>13</v>
      </c>
      <c r="B16" t="s">
        <v>381</v>
      </c>
      <c r="C16" t="s">
        <v>577</v>
      </c>
      <c r="D16" t="s">
        <v>26</v>
      </c>
      <c r="E16">
        <v>2000</v>
      </c>
      <c r="F16">
        <v>12217.362999999999</v>
      </c>
      <c r="G16">
        <v>933.20797544654795</v>
      </c>
      <c r="H16">
        <v>1962.16983903815</v>
      </c>
      <c r="I16">
        <v>1332.5776891975424</v>
      </c>
      <c r="J16">
        <v>2801.8874877996991</v>
      </c>
      <c r="K16">
        <v>0.47560000000000191</v>
      </c>
      <c r="L16">
        <v>3.79</v>
      </c>
      <c r="M16">
        <v>1.2480470879941603</v>
      </c>
      <c r="N16">
        <v>1319.1772689536185</v>
      </c>
      <c r="O16">
        <v>1</v>
      </c>
    </row>
    <row r="17" spans="1:15">
      <c r="A17">
        <v>14</v>
      </c>
      <c r="B17" t="s">
        <v>373</v>
      </c>
      <c r="C17" t="s">
        <v>17</v>
      </c>
      <c r="D17" t="s">
        <v>18</v>
      </c>
      <c r="E17">
        <v>2000</v>
      </c>
      <c r="F17">
        <v>10303.879999999999</v>
      </c>
      <c r="G17">
        <v>24661.9137925992</v>
      </c>
      <c r="H17">
        <v>59873.546473899602</v>
      </c>
      <c r="I17">
        <v>98562.520049170169</v>
      </c>
      <c r="J17">
        <v>239287.49708465734</v>
      </c>
      <c r="K17">
        <v>0.41189999999999921</v>
      </c>
      <c r="L17">
        <v>9.3379999999999992</v>
      </c>
      <c r="M17">
        <v>2.5599814183292717</v>
      </c>
      <c r="N17">
        <v>11820.772123972458</v>
      </c>
      <c r="O17">
        <v>1</v>
      </c>
    </row>
    <row r="18" spans="1:15">
      <c r="A18">
        <v>15</v>
      </c>
      <c r="B18" t="s">
        <v>374</v>
      </c>
      <c r="C18" t="s">
        <v>19</v>
      </c>
      <c r="D18" t="s">
        <v>19</v>
      </c>
      <c r="E18">
        <v>2000</v>
      </c>
      <c r="F18">
        <v>247.00899999999999</v>
      </c>
      <c r="G18">
        <v>6014.4465554118096</v>
      </c>
      <c r="H18">
        <v>17140.058579116001</v>
      </c>
      <c r="I18">
        <v>13132.20440844772</v>
      </c>
      <c r="J18">
        <v>37424.349981327185</v>
      </c>
      <c r="K18">
        <v>0.35090000000000027</v>
      </c>
      <c r="L18" t="e">
        <v>#N/A</v>
      </c>
      <c r="M18" t="e">
        <v>#N/A</v>
      </c>
      <c r="N18" t="e">
        <v>#N/A</v>
      </c>
      <c r="O18">
        <v>0</v>
      </c>
    </row>
    <row r="19" spans="1:15">
      <c r="A19">
        <v>16</v>
      </c>
      <c r="B19" t="s">
        <v>376</v>
      </c>
      <c r="C19" t="s">
        <v>21</v>
      </c>
      <c r="D19" t="s">
        <v>21</v>
      </c>
      <c r="E19">
        <v>2000</v>
      </c>
      <c r="F19">
        <v>8152.62</v>
      </c>
      <c r="G19">
        <v>2929.1863474515499</v>
      </c>
      <c r="H19">
        <v>7195.2501779699196</v>
      </c>
      <c r="I19">
        <v>5413.4011888745172</v>
      </c>
      <c r="J19">
        <v>13297.472829463339</v>
      </c>
      <c r="K19">
        <v>0.40709999999999941</v>
      </c>
      <c r="L19">
        <v>5.5789999999999997</v>
      </c>
      <c r="M19">
        <v>1.7003787153719678</v>
      </c>
      <c r="N19">
        <v>3127.0088060515609</v>
      </c>
      <c r="O19">
        <v>1</v>
      </c>
    </row>
    <row r="20" spans="1:15">
      <c r="A20">
        <v>17</v>
      </c>
      <c r="B20" t="s">
        <v>571</v>
      </c>
      <c r="C20" t="s">
        <v>572</v>
      </c>
      <c r="D20" t="s">
        <v>22</v>
      </c>
      <c r="E20">
        <v>2000</v>
      </c>
      <c r="F20">
        <v>3835.777</v>
      </c>
      <c r="G20">
        <v>3037.1820294950899</v>
      </c>
      <c r="H20">
        <v>6499.4265557352701</v>
      </c>
      <c r="I20">
        <v>1664.5513311333973</v>
      </c>
      <c r="J20">
        <v>3562.0614832728406</v>
      </c>
      <c r="K20">
        <v>0.46729999999999972</v>
      </c>
      <c r="L20" t="e">
        <v>#N/A</v>
      </c>
      <c r="M20" t="e">
        <v>#N/A</v>
      </c>
      <c r="N20" t="e">
        <v>#N/A</v>
      </c>
      <c r="O20">
        <v>0</v>
      </c>
    </row>
    <row r="21" spans="1:15">
      <c r="A21">
        <v>18</v>
      </c>
      <c r="B21" t="s">
        <v>378</v>
      </c>
      <c r="C21" t="s">
        <v>573</v>
      </c>
      <c r="D21" t="s">
        <v>23</v>
      </c>
      <c r="E21">
        <v>2000</v>
      </c>
      <c r="F21">
        <v>1577.739</v>
      </c>
      <c r="G21">
        <v>7256.4464187923704</v>
      </c>
      <c r="H21">
        <v>16616.547787479602</v>
      </c>
      <c r="I21">
        <v>13954.944712951718</v>
      </c>
      <c r="J21">
        <v>31955.449308339048</v>
      </c>
      <c r="K21">
        <v>0.4367000000000017</v>
      </c>
      <c r="L21">
        <v>6.2789999999999999</v>
      </c>
      <c r="M21">
        <v>1.9139152250166049</v>
      </c>
      <c r="N21">
        <v>6291.2287101571847</v>
      </c>
      <c r="O21">
        <v>1</v>
      </c>
    </row>
    <row r="22" spans="1:15">
      <c r="A22">
        <v>19</v>
      </c>
      <c r="B22" t="s">
        <v>379</v>
      </c>
      <c r="C22" t="s">
        <v>24</v>
      </c>
      <c r="D22" t="s">
        <v>24</v>
      </c>
      <c r="E22">
        <v>2000</v>
      </c>
      <c r="F22">
        <v>175552.77100000001</v>
      </c>
      <c r="G22">
        <v>7193.5974347717502</v>
      </c>
      <c r="H22">
        <v>15470.1020102618</v>
      </c>
      <c r="I22">
        <v>21201.422462584869</v>
      </c>
      <c r="J22">
        <v>45594.456908784588</v>
      </c>
      <c r="K22">
        <v>0.46500000000000086</v>
      </c>
      <c r="L22">
        <v>4.8840000000000003</v>
      </c>
      <c r="M22">
        <v>1.5119436370814483</v>
      </c>
      <c r="N22">
        <v>6008.2952637458948</v>
      </c>
      <c r="O22">
        <v>1</v>
      </c>
    </row>
    <row r="23" spans="1:15">
      <c r="A23">
        <v>20</v>
      </c>
      <c r="B23" t="s">
        <v>380</v>
      </c>
      <c r="C23" t="s">
        <v>576</v>
      </c>
      <c r="D23" t="s">
        <v>25</v>
      </c>
      <c r="E23">
        <v>2000</v>
      </c>
      <c r="F23">
        <v>7818.4949999999999</v>
      </c>
      <c r="G23">
        <v>7257.5032187877396</v>
      </c>
      <c r="H23">
        <v>14070.3823551526</v>
      </c>
      <c r="I23">
        <v>11674.994425492976</v>
      </c>
      <c r="J23">
        <v>22634.731340622198</v>
      </c>
      <c r="K23">
        <v>0.51580000000000203</v>
      </c>
      <c r="L23" t="e">
        <v>#N/A</v>
      </c>
      <c r="M23" t="e">
        <v>#N/A</v>
      </c>
      <c r="N23" t="e">
        <v>#N/A</v>
      </c>
      <c r="O23">
        <v>0</v>
      </c>
    </row>
    <row r="24" spans="1:15">
      <c r="A24">
        <v>21</v>
      </c>
      <c r="B24" t="s">
        <v>382</v>
      </c>
      <c r="C24" t="s">
        <v>578</v>
      </c>
      <c r="D24" t="s">
        <v>27</v>
      </c>
      <c r="E24">
        <v>2000</v>
      </c>
      <c r="F24">
        <v>5713.7110000000002</v>
      </c>
      <c r="G24">
        <v>698.84374190281301</v>
      </c>
      <c r="H24">
        <v>1328.3477321855401</v>
      </c>
      <c r="I24">
        <v>722.52399044472634</v>
      </c>
      <c r="J24">
        <v>1373.3586588951264</v>
      </c>
      <c r="K24">
        <v>0.52610000000000035</v>
      </c>
      <c r="L24">
        <v>1.381</v>
      </c>
      <c r="M24">
        <v>0.76717679670367234</v>
      </c>
      <c r="N24">
        <v>1703.2885433306481</v>
      </c>
      <c r="O24">
        <v>1</v>
      </c>
    </row>
    <row r="25" spans="1:15">
      <c r="A25">
        <v>22</v>
      </c>
      <c r="B25" t="s">
        <v>384</v>
      </c>
      <c r="C25" t="s">
        <v>580</v>
      </c>
      <c r="D25" t="s">
        <v>29</v>
      </c>
      <c r="E25">
        <v>2000</v>
      </c>
      <c r="F25">
        <v>14791.629000000001</v>
      </c>
      <c r="G25">
        <v>2471.72688091396</v>
      </c>
      <c r="H25">
        <v>6022.72631801649</v>
      </c>
      <c r="I25">
        <v>2076.8623382317555</v>
      </c>
      <c r="J25">
        <v>5060.5807461787572</v>
      </c>
      <c r="K25">
        <v>0.41039999999999877</v>
      </c>
      <c r="L25">
        <v>3.54</v>
      </c>
      <c r="M25">
        <v>1.1865856720785053</v>
      </c>
      <c r="N25">
        <v>5530.0147335550491</v>
      </c>
      <c r="O25">
        <v>1</v>
      </c>
    </row>
    <row r="26" spans="1:15">
      <c r="A26">
        <v>23</v>
      </c>
      <c r="B26" t="s">
        <v>385</v>
      </c>
      <c r="C26" t="s">
        <v>30</v>
      </c>
      <c r="D26" t="s">
        <v>30</v>
      </c>
      <c r="E26">
        <v>2000</v>
      </c>
      <c r="F26">
        <v>30689.040000000001</v>
      </c>
      <c r="G26">
        <v>26820.733742611599</v>
      </c>
      <c r="H26">
        <v>49815.627307971103</v>
      </c>
      <c r="I26">
        <v>99007.256879742548</v>
      </c>
      <c r="J26">
        <v>183891.63610650576</v>
      </c>
      <c r="K26">
        <v>0.5383999999999991</v>
      </c>
      <c r="L26">
        <v>11.617000000000001</v>
      </c>
      <c r="M26">
        <v>2.5599814183292717</v>
      </c>
      <c r="N26">
        <v>10227.356926636727</v>
      </c>
      <c r="O26">
        <v>1</v>
      </c>
    </row>
    <row r="27" spans="1:15">
      <c r="A27">
        <v>24</v>
      </c>
      <c r="B27" t="s">
        <v>386</v>
      </c>
      <c r="C27" t="s">
        <v>583</v>
      </c>
      <c r="D27" t="s">
        <v>31</v>
      </c>
      <c r="E27">
        <v>2000</v>
      </c>
      <c r="F27">
        <v>3501.489</v>
      </c>
      <c r="G27">
        <v>945.10209370296195</v>
      </c>
      <c r="H27">
        <v>2005.30891937823</v>
      </c>
      <c r="I27">
        <v>2324.8345686147704</v>
      </c>
      <c r="J27">
        <v>4932.8125792802148</v>
      </c>
      <c r="K27">
        <v>0.47130000000000105</v>
      </c>
      <c r="L27">
        <v>2.5289999999999999</v>
      </c>
      <c r="M27">
        <v>0.96740117886783239</v>
      </c>
      <c r="N27">
        <v>1330.5624781726185</v>
      </c>
      <c r="O27">
        <v>1</v>
      </c>
    </row>
    <row r="28" spans="1:15">
      <c r="A28">
        <v>25</v>
      </c>
      <c r="B28" t="s">
        <v>387</v>
      </c>
      <c r="C28" t="s">
        <v>584</v>
      </c>
      <c r="D28" t="s">
        <v>32</v>
      </c>
      <c r="E28">
        <v>2000</v>
      </c>
      <c r="F28">
        <v>8418.8639999999996</v>
      </c>
      <c r="G28">
        <v>829.505126408607</v>
      </c>
      <c r="H28">
        <v>1809.96100023697</v>
      </c>
      <c r="I28">
        <v>1090.2356196604244</v>
      </c>
      <c r="J28">
        <v>2378.8689060886309</v>
      </c>
      <c r="K28">
        <v>0.45830000000000204</v>
      </c>
      <c r="L28">
        <v>2.6019999999999999</v>
      </c>
      <c r="M28">
        <v>0.9817721735886048</v>
      </c>
      <c r="N28">
        <v>1611.3640961134452</v>
      </c>
      <c r="O28">
        <v>1</v>
      </c>
    </row>
    <row r="29" spans="1:15">
      <c r="A29">
        <v>26</v>
      </c>
      <c r="B29" t="s">
        <v>388</v>
      </c>
      <c r="C29" t="s">
        <v>33</v>
      </c>
      <c r="D29" t="s">
        <v>33</v>
      </c>
      <c r="E29">
        <v>2000</v>
      </c>
      <c r="F29">
        <v>15153.797</v>
      </c>
      <c r="G29">
        <v>11430.1877278556</v>
      </c>
      <c r="H29">
        <v>27994.581748360601</v>
      </c>
      <c r="I29">
        <v>31483.149806940914</v>
      </c>
      <c r="J29">
        <v>77107.885885233918</v>
      </c>
      <c r="K29">
        <v>0.40829999999999883</v>
      </c>
      <c r="L29">
        <v>7.5490000000000004</v>
      </c>
      <c r="M29">
        <v>2.3721127174247245</v>
      </c>
      <c r="N29">
        <v>7164.8981692529342</v>
      </c>
      <c r="O29">
        <v>1</v>
      </c>
    </row>
    <row r="30" spans="1:15">
      <c r="A30">
        <v>27</v>
      </c>
      <c r="B30" t="s">
        <v>389</v>
      </c>
      <c r="C30" t="s">
        <v>34</v>
      </c>
      <c r="D30" t="s">
        <v>34</v>
      </c>
      <c r="E30">
        <v>2000</v>
      </c>
      <c r="F30">
        <v>1262474.301</v>
      </c>
      <c r="G30">
        <v>4001.8238179114901</v>
      </c>
      <c r="H30">
        <v>6688.6575596047096</v>
      </c>
      <c r="I30">
        <v>9556.7211756837805</v>
      </c>
      <c r="J30">
        <v>15973.125815951527</v>
      </c>
      <c r="K30">
        <v>0.59829999999999883</v>
      </c>
      <c r="L30">
        <v>6.3550000000000004</v>
      </c>
      <c r="M30">
        <v>1.9386560979317953</v>
      </c>
      <c r="N30">
        <v>2247.1599536772305</v>
      </c>
      <c r="O30">
        <v>1</v>
      </c>
    </row>
    <row r="31" spans="1:15">
      <c r="A31">
        <v>28</v>
      </c>
      <c r="B31" t="s">
        <v>383</v>
      </c>
      <c r="C31" t="s">
        <v>579</v>
      </c>
      <c r="D31" t="s">
        <v>28</v>
      </c>
      <c r="E31">
        <v>2000</v>
      </c>
      <c r="F31">
        <v>31278.097000000002</v>
      </c>
      <c r="G31">
        <v>513.90645378133502</v>
      </c>
      <c r="H31">
        <v>1052.0091172596401</v>
      </c>
      <c r="I31">
        <v>714.1196304582395</v>
      </c>
      <c r="J31">
        <v>1461.8620889626168</v>
      </c>
      <c r="K31">
        <v>0.48850000000000077</v>
      </c>
      <c r="L31" t="e">
        <v>#N/A</v>
      </c>
      <c r="M31" t="e">
        <v>#N/A</v>
      </c>
      <c r="N31" t="e">
        <v>#N/A</v>
      </c>
      <c r="O31">
        <v>0</v>
      </c>
    </row>
    <row r="32" spans="1:15">
      <c r="A32">
        <v>29</v>
      </c>
      <c r="B32" t="s">
        <v>390</v>
      </c>
      <c r="C32" t="s">
        <v>35</v>
      </c>
      <c r="D32" t="s">
        <v>35</v>
      </c>
      <c r="E32">
        <v>2000</v>
      </c>
      <c r="F32">
        <v>39685.654999999999</v>
      </c>
      <c r="G32">
        <v>6079.67792350745</v>
      </c>
      <c r="H32">
        <v>14053.809346988999</v>
      </c>
      <c r="I32">
        <v>11753.066471102569</v>
      </c>
      <c r="J32">
        <v>27168.438444527394</v>
      </c>
      <c r="K32">
        <v>0.43260000000000065</v>
      </c>
      <c r="L32">
        <v>5.27</v>
      </c>
      <c r="M32">
        <v>1.6138618961745661</v>
      </c>
      <c r="N32">
        <v>6294.0288295145465</v>
      </c>
      <c r="O32">
        <v>1</v>
      </c>
    </row>
    <row r="33" spans="1:15">
      <c r="A33">
        <v>30</v>
      </c>
      <c r="B33" t="s">
        <v>398</v>
      </c>
      <c r="C33" t="s">
        <v>43</v>
      </c>
      <c r="D33" t="s">
        <v>586</v>
      </c>
      <c r="E33">
        <v>2000</v>
      </c>
      <c r="F33">
        <v>8353.5249999999996</v>
      </c>
      <c r="G33">
        <v>6497.3674143921398</v>
      </c>
      <c r="H33">
        <v>15008.933736179501</v>
      </c>
      <c r="I33">
        <v>9674.1895355313791</v>
      </c>
      <c r="J33">
        <v>22347.400174477545</v>
      </c>
      <c r="K33">
        <v>0.43290000000000228</v>
      </c>
      <c r="L33">
        <v>4.9269999999999996</v>
      </c>
      <c r="M33">
        <v>1.5229709507075058</v>
      </c>
      <c r="N33">
        <v>8100.4615664986377</v>
      </c>
      <c r="O33">
        <v>1</v>
      </c>
    </row>
    <row r="34" spans="1:15">
      <c r="A34">
        <v>31</v>
      </c>
      <c r="B34" t="s">
        <v>589</v>
      </c>
      <c r="C34" t="s">
        <v>590</v>
      </c>
      <c r="D34" t="s">
        <v>36</v>
      </c>
      <c r="E34">
        <v>2000</v>
      </c>
      <c r="F34">
        <v>2809.4760000000001</v>
      </c>
      <c r="G34">
        <v>1286.1902177847001</v>
      </c>
      <c r="H34">
        <v>3150.11074647245</v>
      </c>
      <c r="I34">
        <v>6460.4642927516716</v>
      </c>
      <c r="J34">
        <v>15822.836866891203</v>
      </c>
      <c r="K34">
        <v>0.40829999999999961</v>
      </c>
      <c r="L34">
        <v>5.1449999999999996</v>
      </c>
      <c r="M34">
        <v>1.5801266467540651</v>
      </c>
      <c r="N34">
        <v>900.29677615700018</v>
      </c>
      <c r="O34">
        <v>1</v>
      </c>
    </row>
    <row r="35" spans="1:15">
      <c r="A35">
        <v>32</v>
      </c>
      <c r="B35" t="s">
        <v>392</v>
      </c>
      <c r="C35" t="s">
        <v>591</v>
      </c>
      <c r="D35" t="s">
        <v>37</v>
      </c>
      <c r="E35">
        <v>2000</v>
      </c>
      <c r="F35">
        <v>3710.558</v>
      </c>
      <c r="G35">
        <v>8341.4698260272198</v>
      </c>
      <c r="H35">
        <v>20596.221792659799</v>
      </c>
      <c r="I35">
        <v>10457.614711234475</v>
      </c>
      <c r="J35">
        <v>25821.270891936972</v>
      </c>
      <c r="K35">
        <v>0.40500000000000003</v>
      </c>
      <c r="L35">
        <v>6.0490000000000004</v>
      </c>
      <c r="M35">
        <v>1.8409486326726534</v>
      </c>
      <c r="N35">
        <v>10008.837167454391</v>
      </c>
      <c r="O35">
        <v>1</v>
      </c>
    </row>
    <row r="36" spans="1:15">
      <c r="A36">
        <v>33</v>
      </c>
      <c r="B36" t="s">
        <v>393</v>
      </c>
      <c r="C36" t="s">
        <v>594</v>
      </c>
      <c r="D36" t="s">
        <v>38</v>
      </c>
      <c r="E36">
        <v>2000</v>
      </c>
      <c r="F36">
        <v>4505.4229999999998</v>
      </c>
      <c r="G36">
        <v>8979.6012824169702</v>
      </c>
      <c r="H36">
        <v>19028.610473441298</v>
      </c>
      <c r="I36">
        <v>29958.09429357811</v>
      </c>
      <c r="J36">
        <v>63483.988755198217</v>
      </c>
      <c r="K36">
        <v>0.47190000000000115</v>
      </c>
      <c r="L36" t="e">
        <v>#N/A</v>
      </c>
      <c r="M36" t="e">
        <v>#N/A</v>
      </c>
      <c r="N36" t="e">
        <v>#N/A</v>
      </c>
      <c r="O36">
        <v>0</v>
      </c>
    </row>
    <row r="37" spans="1:15">
      <c r="A37">
        <v>34</v>
      </c>
      <c r="B37" t="s">
        <v>394</v>
      </c>
      <c r="C37" t="s">
        <v>39</v>
      </c>
      <c r="D37" t="s">
        <v>39</v>
      </c>
      <c r="E37">
        <v>2000</v>
      </c>
      <c r="F37">
        <v>11134.272999999999</v>
      </c>
      <c r="G37">
        <v>5698.6177238243399</v>
      </c>
      <c r="H37">
        <v>11493.7832267534</v>
      </c>
      <c r="I37">
        <v>6102.6884151343666</v>
      </c>
      <c r="J37">
        <v>12308.770502489637</v>
      </c>
      <c r="K37">
        <v>0.49580000000000041</v>
      </c>
      <c r="L37" t="e">
        <v>#N/A</v>
      </c>
      <c r="M37" t="e">
        <v>#N/A</v>
      </c>
      <c r="N37" t="e">
        <v>#N/A</v>
      </c>
      <c r="O37">
        <v>0</v>
      </c>
    </row>
    <row r="38" spans="1:15">
      <c r="A38">
        <v>35</v>
      </c>
      <c r="B38" t="s">
        <v>396</v>
      </c>
      <c r="C38" t="s">
        <v>40</v>
      </c>
      <c r="D38" t="s">
        <v>41</v>
      </c>
      <c r="E38">
        <v>2000</v>
      </c>
      <c r="F38">
        <v>10267.26</v>
      </c>
      <c r="G38">
        <v>13616.582087315701</v>
      </c>
      <c r="H38">
        <v>24263.332300990201</v>
      </c>
      <c r="I38">
        <v>61477.91233783785</v>
      </c>
      <c r="J38">
        <v>109547.24222708099</v>
      </c>
      <c r="K38">
        <v>0.56120000000000003</v>
      </c>
      <c r="L38" t="e">
        <v>#N/A</v>
      </c>
      <c r="M38" t="e">
        <v>#N/A</v>
      </c>
      <c r="N38" t="e">
        <v>#N/A</v>
      </c>
      <c r="O38">
        <v>0</v>
      </c>
    </row>
    <row r="39" spans="1:15">
      <c r="A39">
        <v>36</v>
      </c>
      <c r="B39" t="s">
        <v>397</v>
      </c>
      <c r="C39" t="s">
        <v>597</v>
      </c>
      <c r="D39" t="s">
        <v>42</v>
      </c>
      <c r="E39">
        <v>2000</v>
      </c>
      <c r="F39">
        <v>5339.6059999999998</v>
      </c>
      <c r="G39">
        <v>27827.2809552535</v>
      </c>
      <c r="H39">
        <v>50448.297598356599</v>
      </c>
      <c r="I39">
        <v>111316.68117920154</v>
      </c>
      <c r="J39">
        <v>201806.89118782006</v>
      </c>
      <c r="K39">
        <v>0.55159999999999998</v>
      </c>
      <c r="L39">
        <v>9.6609999999999996</v>
      </c>
      <c r="M39">
        <v>2.5599814183292717</v>
      </c>
      <c r="N39">
        <v>9955.3874992450037</v>
      </c>
      <c r="O39">
        <v>1</v>
      </c>
    </row>
    <row r="40" spans="1:15">
      <c r="A40">
        <v>37</v>
      </c>
      <c r="B40" t="s">
        <v>399</v>
      </c>
      <c r="C40" t="s">
        <v>44</v>
      </c>
      <c r="D40" t="s">
        <v>44</v>
      </c>
      <c r="E40">
        <v>2000</v>
      </c>
      <c r="F40">
        <v>12920.092000000001</v>
      </c>
      <c r="G40">
        <v>4314.4422530417496</v>
      </c>
      <c r="H40">
        <v>11025.9193790998</v>
      </c>
      <c r="I40">
        <v>15182.863534727017</v>
      </c>
      <c r="J40">
        <v>38801.082378551044</v>
      </c>
      <c r="K40">
        <v>0.39129999999999981</v>
      </c>
      <c r="L40">
        <v>6.4089999999999998</v>
      </c>
      <c r="M40">
        <v>1.9564292490186919</v>
      </c>
      <c r="N40">
        <v>3032.5919665478473</v>
      </c>
      <c r="O40">
        <v>1</v>
      </c>
    </row>
    <row r="41" spans="1:15">
      <c r="A41">
        <v>38</v>
      </c>
      <c r="B41" t="s">
        <v>400</v>
      </c>
      <c r="C41" t="s">
        <v>45</v>
      </c>
      <c r="D41" t="s">
        <v>45</v>
      </c>
      <c r="E41">
        <v>2000</v>
      </c>
      <c r="F41">
        <v>70492.342000000004</v>
      </c>
      <c r="G41">
        <v>4535.8318699963602</v>
      </c>
      <c r="H41">
        <v>11939.5416425279</v>
      </c>
      <c r="I41">
        <v>4306.8730299025983</v>
      </c>
      <c r="J41">
        <v>11336.859778632766</v>
      </c>
      <c r="K41">
        <v>0.3799000000000009</v>
      </c>
      <c r="L41">
        <v>5.5140000000000002</v>
      </c>
      <c r="M41">
        <v>1.6818022730943964</v>
      </c>
      <c r="N41">
        <v>7282.6977665643426</v>
      </c>
      <c r="O41">
        <v>1</v>
      </c>
    </row>
    <row r="42" spans="1:15">
      <c r="A42">
        <v>39</v>
      </c>
      <c r="B42" t="s">
        <v>401</v>
      </c>
      <c r="C42" t="s">
        <v>602</v>
      </c>
      <c r="D42" t="s">
        <v>46</v>
      </c>
      <c r="E42">
        <v>2000</v>
      </c>
      <c r="F42">
        <v>6122.5150000000003</v>
      </c>
      <c r="G42">
        <v>4732.1276000154803</v>
      </c>
      <c r="H42">
        <v>10992.1663182705</v>
      </c>
      <c r="I42">
        <v>6195.3553022703127</v>
      </c>
      <c r="J42">
        <v>14391.069227108648</v>
      </c>
      <c r="K42">
        <v>0.43050000000000277</v>
      </c>
      <c r="L42">
        <v>5.1539999999999999</v>
      </c>
      <c r="M42">
        <v>1.5825318480756922</v>
      </c>
      <c r="N42">
        <v>6082.7386018630277</v>
      </c>
      <c r="O42">
        <v>1</v>
      </c>
    </row>
    <row r="43" spans="1:15">
      <c r="A43">
        <v>40</v>
      </c>
      <c r="B43" t="s">
        <v>402</v>
      </c>
      <c r="C43" t="s">
        <v>603</v>
      </c>
      <c r="D43" t="s">
        <v>47</v>
      </c>
      <c r="E43">
        <v>2000</v>
      </c>
      <c r="F43">
        <v>474.214</v>
      </c>
      <c r="G43">
        <v>6494.5390869657504</v>
      </c>
      <c r="H43">
        <v>15729.0847347196</v>
      </c>
      <c r="I43">
        <v>7500.6542526078001</v>
      </c>
      <c r="J43">
        <v>18165.788938260517</v>
      </c>
      <c r="K43">
        <v>0.41290000000000177</v>
      </c>
      <c r="L43" t="e">
        <v>#N/A</v>
      </c>
      <c r="M43" t="e">
        <v>#N/A</v>
      </c>
      <c r="N43" t="e">
        <v>#N/A</v>
      </c>
      <c r="O43">
        <v>0</v>
      </c>
    </row>
    <row r="44" spans="1:15">
      <c r="A44">
        <v>41</v>
      </c>
      <c r="B44" t="s">
        <v>403</v>
      </c>
      <c r="C44" t="s">
        <v>604</v>
      </c>
      <c r="D44" t="s">
        <v>48</v>
      </c>
      <c r="E44">
        <v>2000</v>
      </c>
      <c r="F44">
        <v>4243.1850000000004</v>
      </c>
      <c r="G44">
        <v>555.39121667536995</v>
      </c>
      <c r="H44">
        <v>1113.67794163345</v>
      </c>
      <c r="I44">
        <v>480.06899309542359</v>
      </c>
      <c r="J44">
        <v>962.64080529213049</v>
      </c>
      <c r="K44">
        <v>0.49870002440810524</v>
      </c>
      <c r="L44" t="e">
        <v>#N/A</v>
      </c>
      <c r="M44" t="e">
        <v>#N/A</v>
      </c>
      <c r="N44" t="e">
        <v>#N/A</v>
      </c>
      <c r="O44">
        <v>0</v>
      </c>
    </row>
    <row r="45" spans="1:15">
      <c r="A45">
        <v>42</v>
      </c>
      <c r="B45" t="s">
        <v>404</v>
      </c>
      <c r="C45" t="s">
        <v>49</v>
      </c>
      <c r="D45" t="s">
        <v>49</v>
      </c>
      <c r="E45">
        <v>2000</v>
      </c>
      <c r="F45">
        <v>1431.471</v>
      </c>
      <c r="G45">
        <v>11080.906975269199</v>
      </c>
      <c r="H45">
        <v>20074.106839255899</v>
      </c>
      <c r="I45">
        <v>33183.9817503378</v>
      </c>
      <c r="J45">
        <v>60115.908968003569</v>
      </c>
      <c r="K45">
        <v>0.55199999999999716</v>
      </c>
      <c r="L45" t="e">
        <v>#N/A</v>
      </c>
      <c r="M45" t="e">
        <v>#N/A</v>
      </c>
      <c r="N45" t="e">
        <v>#N/A</v>
      </c>
      <c r="O45">
        <v>0</v>
      </c>
    </row>
    <row r="46" spans="1:15">
      <c r="A46">
        <v>43</v>
      </c>
      <c r="B46" t="s">
        <v>405</v>
      </c>
      <c r="C46" t="s">
        <v>50</v>
      </c>
      <c r="D46" t="s">
        <v>50</v>
      </c>
      <c r="E46">
        <v>2000</v>
      </c>
      <c r="F46">
        <v>62651.398000000001</v>
      </c>
      <c r="G46">
        <v>725.36516601789799</v>
      </c>
      <c r="H46">
        <v>1642.5841621782099</v>
      </c>
      <c r="I46">
        <v>352.18657808246996</v>
      </c>
      <c r="J46">
        <v>797.52395399109992</v>
      </c>
      <c r="K46">
        <v>0.44160000000000033</v>
      </c>
      <c r="L46" t="e">
        <v>#N/A</v>
      </c>
      <c r="M46" t="e">
        <v>#N/A</v>
      </c>
      <c r="N46" t="e">
        <v>#N/A</v>
      </c>
      <c r="O46">
        <v>0</v>
      </c>
    </row>
    <row r="47" spans="1:15">
      <c r="A47">
        <v>44</v>
      </c>
      <c r="B47" t="s">
        <v>406</v>
      </c>
      <c r="C47" t="s">
        <v>51</v>
      </c>
      <c r="D47" t="s">
        <v>51</v>
      </c>
      <c r="E47">
        <v>2000</v>
      </c>
      <c r="F47">
        <v>5176.5259999999998</v>
      </c>
      <c r="G47">
        <v>22740.6858105623</v>
      </c>
      <c r="H47">
        <v>45192.141912882202</v>
      </c>
      <c r="I47">
        <v>108145.91746639943</v>
      </c>
      <c r="J47">
        <v>214916.3701637511</v>
      </c>
      <c r="K47">
        <v>0.50319999999999943</v>
      </c>
      <c r="L47">
        <v>9.9879999999999995</v>
      </c>
      <c r="M47">
        <v>2.5599814183292717</v>
      </c>
      <c r="N47">
        <v>8189.8624388995531</v>
      </c>
      <c r="O47">
        <v>1</v>
      </c>
    </row>
    <row r="48" spans="1:15">
      <c r="A48">
        <v>45</v>
      </c>
      <c r="B48" t="s">
        <v>407</v>
      </c>
      <c r="C48" t="s">
        <v>52</v>
      </c>
      <c r="D48" t="s">
        <v>52</v>
      </c>
      <c r="E48">
        <v>2000</v>
      </c>
      <c r="F48">
        <v>59278.01</v>
      </c>
      <c r="G48">
        <v>25044.5384939258</v>
      </c>
      <c r="H48">
        <v>55285.956940233598</v>
      </c>
      <c r="I48">
        <v>98789.552204733467</v>
      </c>
      <c r="J48">
        <v>218078.48168815352</v>
      </c>
      <c r="K48">
        <v>0.45299999999999963</v>
      </c>
      <c r="L48">
        <v>7.8620000000000001</v>
      </c>
      <c r="M48">
        <v>2.5009683578095672</v>
      </c>
      <c r="N48">
        <v>11244.894581859029</v>
      </c>
      <c r="O48">
        <v>1</v>
      </c>
    </row>
    <row r="49" spans="1:15">
      <c r="A49">
        <v>46</v>
      </c>
      <c r="B49" t="s">
        <v>408</v>
      </c>
      <c r="C49" t="s">
        <v>53</v>
      </c>
      <c r="D49" t="s">
        <v>53</v>
      </c>
      <c r="E49">
        <v>2000</v>
      </c>
      <c r="F49">
        <v>1222.9380000000001</v>
      </c>
      <c r="G49">
        <v>10438.827254150499</v>
      </c>
      <c r="H49">
        <v>23140.8274310587</v>
      </c>
      <c r="I49">
        <v>14766.279062608812</v>
      </c>
      <c r="J49">
        <v>32733.937181575981</v>
      </c>
      <c r="K49">
        <v>0.4510999999999965</v>
      </c>
      <c r="L49" t="e">
        <v>#N/A</v>
      </c>
      <c r="M49" t="e">
        <v>#N/A</v>
      </c>
      <c r="N49" t="e">
        <v>#N/A</v>
      </c>
      <c r="O49">
        <v>0</v>
      </c>
    </row>
    <row r="50" spans="1:15">
      <c r="A50">
        <v>47</v>
      </c>
      <c r="B50" t="s">
        <v>607</v>
      </c>
      <c r="C50" t="s">
        <v>608</v>
      </c>
      <c r="D50" t="s">
        <v>54</v>
      </c>
      <c r="E50">
        <v>2000</v>
      </c>
      <c r="F50">
        <v>1367.124</v>
      </c>
      <c r="G50">
        <v>953.85879007524795</v>
      </c>
      <c r="H50">
        <v>1859.3738597957999</v>
      </c>
      <c r="I50">
        <v>1204.556940115189</v>
      </c>
      <c r="J50">
        <v>2348.0642107508493</v>
      </c>
      <c r="K50">
        <v>0.51300000000000134</v>
      </c>
      <c r="L50">
        <v>2.3119999999999998</v>
      </c>
      <c r="M50">
        <v>0.92591207522964025</v>
      </c>
      <c r="N50">
        <v>1790.1179280070162</v>
      </c>
      <c r="O50">
        <v>1</v>
      </c>
    </row>
    <row r="51" spans="1:15">
      <c r="A51">
        <v>48</v>
      </c>
      <c r="B51" t="s">
        <v>410</v>
      </c>
      <c r="C51" t="s">
        <v>55</v>
      </c>
      <c r="D51" t="s">
        <v>55</v>
      </c>
      <c r="E51">
        <v>2000</v>
      </c>
      <c r="F51">
        <v>5019.5379999999996</v>
      </c>
      <c r="G51">
        <v>3885.8346878195198</v>
      </c>
      <c r="H51">
        <v>7725.3174708141496</v>
      </c>
      <c r="I51">
        <v>5414.8277704700849</v>
      </c>
      <c r="J51">
        <v>10765.065150039924</v>
      </c>
      <c r="K51">
        <v>0.50300000000000034</v>
      </c>
      <c r="L51" t="e">
        <v>#N/A</v>
      </c>
      <c r="M51" t="e">
        <v>#N/A</v>
      </c>
      <c r="N51" t="e">
        <v>#N/A</v>
      </c>
      <c r="O51">
        <v>0</v>
      </c>
    </row>
    <row r="52" spans="1:15">
      <c r="A52">
        <v>49</v>
      </c>
      <c r="B52" t="s">
        <v>411</v>
      </c>
      <c r="C52" t="s">
        <v>56</v>
      </c>
      <c r="D52" t="s">
        <v>56</v>
      </c>
      <c r="E52">
        <v>2000</v>
      </c>
      <c r="F52">
        <v>82344.429999999993</v>
      </c>
      <c r="G52">
        <v>25061.3402444967</v>
      </c>
      <c r="H52">
        <v>51010.258995515404</v>
      </c>
      <c r="I52">
        <v>124408.18844501545</v>
      </c>
      <c r="J52">
        <v>253222.44747611549</v>
      </c>
      <c r="K52">
        <v>0.49129999999999963</v>
      </c>
      <c r="L52">
        <v>10.202999999999999</v>
      </c>
      <c r="M52">
        <v>2.5599814183292717</v>
      </c>
      <c r="N52">
        <v>9050.8892253818358</v>
      </c>
      <c r="O52">
        <v>1</v>
      </c>
    </row>
    <row r="53" spans="1:15">
      <c r="A53">
        <v>50</v>
      </c>
      <c r="B53" t="s">
        <v>413</v>
      </c>
      <c r="C53" t="s">
        <v>58</v>
      </c>
      <c r="D53" t="s">
        <v>58</v>
      </c>
      <c r="E53">
        <v>2000</v>
      </c>
      <c r="F53">
        <v>19509.240000000002</v>
      </c>
      <c r="G53">
        <v>1392.2006881335501</v>
      </c>
      <c r="H53">
        <v>2826.80342768234</v>
      </c>
      <c r="I53">
        <v>1575.3559656770346</v>
      </c>
      <c r="J53">
        <v>3198.6923160955075</v>
      </c>
      <c r="K53">
        <v>0.49249999999999916</v>
      </c>
      <c r="L53">
        <v>3.8860000000000001</v>
      </c>
      <c r="M53">
        <v>1.2724854052180641</v>
      </c>
      <c r="N53">
        <v>2090.2823045221439</v>
      </c>
      <c r="O53">
        <v>1</v>
      </c>
    </row>
    <row r="54" spans="1:15">
      <c r="A54">
        <v>51</v>
      </c>
      <c r="B54" t="s">
        <v>417</v>
      </c>
      <c r="C54" t="s">
        <v>62</v>
      </c>
      <c r="D54" t="s">
        <v>62</v>
      </c>
      <c r="E54">
        <v>2000</v>
      </c>
      <c r="F54">
        <v>1278.259</v>
      </c>
      <c r="G54">
        <v>762.40115955168403</v>
      </c>
      <c r="H54">
        <v>1666.8149531081799</v>
      </c>
      <c r="I54">
        <v>1677.8373371533737</v>
      </c>
      <c r="J54">
        <v>3668.2058092552866</v>
      </c>
      <c r="K54">
        <v>0.45740000000000153</v>
      </c>
      <c r="L54">
        <v>0.83899999999999997</v>
      </c>
      <c r="M54">
        <v>0.68761788159604798</v>
      </c>
      <c r="N54">
        <v>1643.665871078568</v>
      </c>
      <c r="O54">
        <v>1</v>
      </c>
    </row>
    <row r="55" spans="1:15">
      <c r="A55">
        <v>52</v>
      </c>
      <c r="B55" t="s">
        <v>414</v>
      </c>
      <c r="C55" t="s">
        <v>609</v>
      </c>
      <c r="D55" t="s">
        <v>59</v>
      </c>
      <c r="E55">
        <v>2000</v>
      </c>
      <c r="F55">
        <v>10975.02</v>
      </c>
      <c r="G55">
        <v>13982.385497904001</v>
      </c>
      <c r="H55">
        <v>32069.691508954202</v>
      </c>
      <c r="I55">
        <v>56223.455227083083</v>
      </c>
      <c r="J55">
        <v>128952.87896120001</v>
      </c>
      <c r="K55">
        <v>0.435999999999999</v>
      </c>
      <c r="L55">
        <v>8.6669999999999998</v>
      </c>
      <c r="M55">
        <v>2.5599814183292717</v>
      </c>
      <c r="N55">
        <v>6312.4770371163795</v>
      </c>
      <c r="O55">
        <v>1</v>
      </c>
    </row>
    <row r="56" spans="1:15">
      <c r="A56">
        <v>53</v>
      </c>
      <c r="B56" t="s">
        <v>415</v>
      </c>
      <c r="C56" t="s">
        <v>612</v>
      </c>
      <c r="D56" t="s">
        <v>60</v>
      </c>
      <c r="E56">
        <v>2000</v>
      </c>
      <c r="F56">
        <v>12820.296</v>
      </c>
      <c r="G56">
        <v>3859.4668371541002</v>
      </c>
      <c r="H56">
        <v>10608.7598602366</v>
      </c>
      <c r="I56">
        <v>4261.0463004092398</v>
      </c>
      <c r="J56">
        <v>11712.606653131425</v>
      </c>
      <c r="K56">
        <v>0.3638000000000024</v>
      </c>
      <c r="L56">
        <v>3.488</v>
      </c>
      <c r="M56">
        <v>1.1741870079622552</v>
      </c>
      <c r="N56">
        <v>8605.0558072419117</v>
      </c>
      <c r="O56">
        <v>1</v>
      </c>
    </row>
    <row r="57" spans="1:15">
      <c r="A57">
        <v>54</v>
      </c>
      <c r="B57" t="s">
        <v>416</v>
      </c>
      <c r="C57" t="s">
        <v>613</v>
      </c>
      <c r="D57" t="s">
        <v>61</v>
      </c>
      <c r="E57">
        <v>2000</v>
      </c>
      <c r="F57">
        <v>8641.9650000000001</v>
      </c>
      <c r="G57">
        <v>2546.1217659174199</v>
      </c>
      <c r="H57">
        <v>5130.2070641092496</v>
      </c>
      <c r="I57">
        <v>3279.2428600159014</v>
      </c>
      <c r="J57">
        <v>6607.3803345071574</v>
      </c>
      <c r="K57">
        <v>0.49629999999999985</v>
      </c>
      <c r="L57">
        <v>2.36</v>
      </c>
      <c r="M57">
        <v>0.93493338333663278</v>
      </c>
      <c r="N57">
        <v>4844.2564770175568</v>
      </c>
      <c r="O57">
        <v>1</v>
      </c>
    </row>
    <row r="58" spans="1:15">
      <c r="A58">
        <v>55</v>
      </c>
      <c r="B58" t="s">
        <v>418</v>
      </c>
      <c r="C58" t="s">
        <v>63</v>
      </c>
      <c r="D58" t="s">
        <v>63</v>
      </c>
      <c r="E58">
        <v>2000</v>
      </c>
      <c r="F58">
        <v>698.11</v>
      </c>
      <c r="G58">
        <v>3733.1816382831798</v>
      </c>
      <c r="H58">
        <v>8880.0705001978804</v>
      </c>
      <c r="I58" t="e">
        <v>#VALUE!</v>
      </c>
      <c r="J58" t="e">
        <v>#VALUE!</v>
      </c>
      <c r="K58">
        <v>0.420399999999999</v>
      </c>
      <c r="L58">
        <v>6.2450000000000001</v>
      </c>
      <c r="M58">
        <v>1.9029494031110803</v>
      </c>
      <c r="N58" t="e">
        <v>#VALUE!</v>
      </c>
      <c r="O58">
        <v>0</v>
      </c>
    </row>
    <row r="59" spans="1:15">
      <c r="A59">
        <v>56</v>
      </c>
      <c r="B59" t="s">
        <v>419</v>
      </c>
      <c r="C59" t="s">
        <v>614</v>
      </c>
      <c r="D59" t="s">
        <v>64</v>
      </c>
      <c r="E59">
        <v>2000</v>
      </c>
      <c r="F59">
        <v>7177.1149999999998</v>
      </c>
      <c r="G59">
        <v>2069.2876421649298</v>
      </c>
      <c r="H59">
        <v>4796.67974539854</v>
      </c>
      <c r="I59">
        <v>1490.6847008456889</v>
      </c>
      <c r="J59">
        <v>3455.4582773428119</v>
      </c>
      <c r="K59">
        <v>0.43139999999999995</v>
      </c>
      <c r="L59">
        <v>2.7749999999999999</v>
      </c>
      <c r="M59">
        <v>1.0166877099007121</v>
      </c>
      <c r="N59">
        <v>5545.0789808338131</v>
      </c>
      <c r="O59">
        <v>1</v>
      </c>
    </row>
    <row r="60" spans="1:15">
      <c r="A60">
        <v>57</v>
      </c>
      <c r="B60" t="s">
        <v>421</v>
      </c>
      <c r="C60" t="s">
        <v>616</v>
      </c>
      <c r="D60" t="s">
        <v>66</v>
      </c>
      <c r="E60">
        <v>2000</v>
      </c>
      <c r="F60">
        <v>7115.62</v>
      </c>
      <c r="G60">
        <v>27236.1524687325</v>
      </c>
      <c r="H60">
        <v>50288.316965901999</v>
      </c>
      <c r="I60">
        <v>85891.646798238478</v>
      </c>
      <c r="J60">
        <v>158588.71269984962</v>
      </c>
      <c r="K60">
        <v>0.54159999999999953</v>
      </c>
      <c r="L60">
        <v>9.4130000000000003</v>
      </c>
      <c r="M60">
        <v>2.5599814183292717</v>
      </c>
      <c r="N60">
        <v>11157.069239945895</v>
      </c>
      <c r="O60">
        <v>1</v>
      </c>
    </row>
    <row r="61" spans="1:15">
      <c r="A61">
        <v>58</v>
      </c>
      <c r="B61" t="s">
        <v>420</v>
      </c>
      <c r="C61" t="s">
        <v>615</v>
      </c>
      <c r="D61" t="s">
        <v>65</v>
      </c>
      <c r="E61">
        <v>2000</v>
      </c>
      <c r="F61">
        <v>6200.8980000000001</v>
      </c>
      <c r="G61">
        <v>2239.6555486074499</v>
      </c>
      <c r="H61">
        <v>5975.6017839046199</v>
      </c>
      <c r="I61">
        <v>5165.1241808282712</v>
      </c>
      <c r="J61">
        <v>13781.014356532218</v>
      </c>
      <c r="K61">
        <v>0.37479999999999974</v>
      </c>
      <c r="L61">
        <v>4.7960000000000003</v>
      </c>
      <c r="M61">
        <v>1.4896243886150748</v>
      </c>
      <c r="N61">
        <v>2658.0510103508482</v>
      </c>
      <c r="O61">
        <v>1</v>
      </c>
    </row>
    <row r="62" spans="1:15">
      <c r="A62">
        <v>59</v>
      </c>
      <c r="B62" t="s">
        <v>422</v>
      </c>
      <c r="C62" t="s">
        <v>67</v>
      </c>
      <c r="D62" t="s">
        <v>67</v>
      </c>
      <c r="E62">
        <v>2000</v>
      </c>
      <c r="F62">
        <v>10225.75</v>
      </c>
      <c r="G62">
        <v>11382.949744080301</v>
      </c>
      <c r="H62">
        <v>23788.8186919129</v>
      </c>
      <c r="I62">
        <v>41849.681318641044</v>
      </c>
      <c r="J62">
        <v>87460.149046271952</v>
      </c>
      <c r="K62">
        <v>0.47849999999999909</v>
      </c>
      <c r="L62">
        <v>9.125</v>
      </c>
      <c r="M62">
        <v>2.5599814183292717</v>
      </c>
      <c r="N62">
        <v>4893.6970073184875</v>
      </c>
      <c r="O62">
        <v>1</v>
      </c>
    </row>
    <row r="63" spans="1:15">
      <c r="A63">
        <v>60</v>
      </c>
      <c r="B63" t="s">
        <v>423</v>
      </c>
      <c r="C63" t="s">
        <v>617</v>
      </c>
      <c r="D63" t="s">
        <v>68</v>
      </c>
      <c r="E63">
        <v>2000</v>
      </c>
      <c r="F63">
        <v>281.27499999999998</v>
      </c>
      <c r="G63">
        <v>25794.626654658401</v>
      </c>
      <c r="H63">
        <v>45710.8393667524</v>
      </c>
      <c r="I63">
        <v>96661.799386247891</v>
      </c>
      <c r="J63">
        <v>171295.05473373702</v>
      </c>
      <c r="K63">
        <v>0.56430000000000047</v>
      </c>
      <c r="L63">
        <v>8.83</v>
      </c>
      <c r="M63">
        <v>2.5599814183292717</v>
      </c>
      <c r="N63">
        <v>9315.3913145415536</v>
      </c>
      <c r="O63">
        <v>1</v>
      </c>
    </row>
    <row r="64" spans="1:15">
      <c r="A64">
        <v>61</v>
      </c>
      <c r="B64" t="s">
        <v>425</v>
      </c>
      <c r="C64" t="s">
        <v>618</v>
      </c>
      <c r="D64" t="s">
        <v>70</v>
      </c>
      <c r="E64">
        <v>2000</v>
      </c>
      <c r="F64">
        <v>224138.43799999999</v>
      </c>
      <c r="G64">
        <v>3771.8610506980699</v>
      </c>
      <c r="H64">
        <v>7799.5472512367096</v>
      </c>
      <c r="I64">
        <v>8191.0354482041766</v>
      </c>
      <c r="J64">
        <v>16937.624996286566</v>
      </c>
      <c r="K64">
        <v>0.48359999999999964</v>
      </c>
      <c r="L64">
        <v>4.9859999999999998</v>
      </c>
      <c r="M64">
        <v>1.5382324538384564</v>
      </c>
      <c r="N64">
        <v>3460.7415767050247</v>
      </c>
      <c r="O64">
        <v>1</v>
      </c>
    </row>
    <row r="65" spans="1:15">
      <c r="A65">
        <v>62</v>
      </c>
      <c r="B65" t="s">
        <v>424</v>
      </c>
      <c r="C65" t="s">
        <v>69</v>
      </c>
      <c r="D65" t="s">
        <v>69</v>
      </c>
      <c r="E65">
        <v>2000</v>
      </c>
      <c r="F65">
        <v>1002708.291</v>
      </c>
      <c r="G65">
        <v>2643.8507405704599</v>
      </c>
      <c r="H65">
        <v>6033.4339127577796</v>
      </c>
      <c r="I65">
        <v>3583.5705339899514</v>
      </c>
      <c r="J65">
        <v>8177.9336695343445</v>
      </c>
      <c r="K65">
        <v>0.43820000000000014</v>
      </c>
      <c r="L65">
        <v>5.0629999999999997</v>
      </c>
      <c r="M65">
        <v>1.5583802802774473</v>
      </c>
      <c r="N65">
        <v>3333.0150029467422</v>
      </c>
      <c r="O65">
        <v>1</v>
      </c>
    </row>
    <row r="66" spans="1:15">
      <c r="A66">
        <v>63</v>
      </c>
      <c r="B66" t="s">
        <v>428</v>
      </c>
      <c r="C66" t="s">
        <v>619</v>
      </c>
      <c r="D66" t="s">
        <v>73</v>
      </c>
      <c r="E66">
        <v>2000</v>
      </c>
      <c r="F66">
        <v>3801.38</v>
      </c>
      <c r="G66">
        <v>24947.554359641199</v>
      </c>
      <c r="H66">
        <v>59103.421842315198</v>
      </c>
      <c r="I66">
        <v>62300.340349448459</v>
      </c>
      <c r="J66">
        <v>147596.16287478933</v>
      </c>
      <c r="K66">
        <v>0.4220999999999992</v>
      </c>
      <c r="L66">
        <v>9.3510000000000009</v>
      </c>
      <c r="M66">
        <v>2.5599814183292717</v>
      </c>
      <c r="N66">
        <v>14709.934173407924</v>
      </c>
      <c r="O66">
        <v>1</v>
      </c>
    </row>
    <row r="67" spans="1:15">
      <c r="A67">
        <v>64</v>
      </c>
      <c r="B67" t="s">
        <v>426</v>
      </c>
      <c r="C67" t="s">
        <v>71</v>
      </c>
      <c r="D67" t="s">
        <v>71</v>
      </c>
      <c r="E67">
        <v>2000</v>
      </c>
      <c r="F67">
        <v>66005.872000000003</v>
      </c>
      <c r="G67">
        <v>6045.52596057352</v>
      </c>
      <c r="H67">
        <v>17594.662283392099</v>
      </c>
      <c r="I67">
        <v>26239.2362413587</v>
      </c>
      <c r="J67">
        <v>76365.646802557399</v>
      </c>
      <c r="K67">
        <v>0.34359999999999968</v>
      </c>
      <c r="L67">
        <v>5.3120000000000003</v>
      </c>
      <c r="M67">
        <v>1.6253578387485133</v>
      </c>
      <c r="N67">
        <v>5253.2852804185923</v>
      </c>
      <c r="O67">
        <v>1</v>
      </c>
    </row>
    <row r="68" spans="1:15">
      <c r="A68">
        <v>65</v>
      </c>
      <c r="B68" t="s">
        <v>427</v>
      </c>
      <c r="C68" t="s">
        <v>72</v>
      </c>
      <c r="D68" t="s">
        <v>72</v>
      </c>
      <c r="E68">
        <v>2000</v>
      </c>
      <c r="F68">
        <v>22675.616999999998</v>
      </c>
      <c r="G68">
        <v>2445.3488718977801</v>
      </c>
      <c r="H68">
        <v>8853.5440691447602</v>
      </c>
      <c r="I68">
        <v>2313.9873277916026</v>
      </c>
      <c r="J68">
        <v>8377.9410854149355</v>
      </c>
      <c r="K68">
        <v>0.27619999999999972</v>
      </c>
      <c r="L68">
        <v>3.95</v>
      </c>
      <c r="M68">
        <v>1.2890428935330218</v>
      </c>
      <c r="N68">
        <v>7057.660380184534</v>
      </c>
      <c r="O68">
        <v>1</v>
      </c>
    </row>
    <row r="69" spans="1:15">
      <c r="A69">
        <v>66</v>
      </c>
      <c r="B69" t="s">
        <v>429</v>
      </c>
      <c r="C69" t="s">
        <v>74</v>
      </c>
      <c r="D69" t="s">
        <v>74</v>
      </c>
      <c r="E69">
        <v>2000</v>
      </c>
      <c r="F69">
        <v>5842.4539999999997</v>
      </c>
      <c r="G69">
        <v>22236.900178655302</v>
      </c>
      <c r="H69">
        <v>51882.641574090703</v>
      </c>
      <c r="I69">
        <v>73170.117541236657</v>
      </c>
      <c r="J69">
        <v>170718.89300335178</v>
      </c>
      <c r="K69">
        <v>0.42860000000000048</v>
      </c>
      <c r="L69">
        <v>9.6039999999999992</v>
      </c>
      <c r="M69">
        <v>2.5599814183292717</v>
      </c>
      <c r="N69">
        <v>11272.381001761212</v>
      </c>
      <c r="O69">
        <v>1</v>
      </c>
    </row>
    <row r="70" spans="1:15">
      <c r="A70">
        <v>67</v>
      </c>
      <c r="B70" t="s">
        <v>430</v>
      </c>
      <c r="C70" t="s">
        <v>75</v>
      </c>
      <c r="D70" t="s">
        <v>75</v>
      </c>
      <c r="E70">
        <v>2000</v>
      </c>
      <c r="F70">
        <v>57714.84</v>
      </c>
      <c r="G70">
        <v>22487.212480656501</v>
      </c>
      <c r="H70">
        <v>50853.035912836996</v>
      </c>
      <c r="I70">
        <v>93073.984189662311</v>
      </c>
      <c r="J70">
        <v>210479.38532261958</v>
      </c>
      <c r="K70">
        <v>0.44219999999999965</v>
      </c>
      <c r="L70">
        <v>7.18</v>
      </c>
      <c r="M70">
        <v>2.228703441463729</v>
      </c>
      <c r="N70">
        <v>11335.010782784466</v>
      </c>
      <c r="O70">
        <v>1</v>
      </c>
    </row>
    <row r="71" spans="1:15">
      <c r="A71">
        <v>68</v>
      </c>
      <c r="B71" t="s">
        <v>592</v>
      </c>
      <c r="C71" t="s">
        <v>593</v>
      </c>
      <c r="D71" t="s">
        <v>76</v>
      </c>
      <c r="E71">
        <v>2000</v>
      </c>
      <c r="F71">
        <v>15865.601000000001</v>
      </c>
      <c r="G71">
        <v>2171.65871255512</v>
      </c>
      <c r="H71">
        <v>5325.3033657555798</v>
      </c>
      <c r="I71">
        <v>2103.9423029238492</v>
      </c>
      <c r="J71">
        <v>5159.2503749971902</v>
      </c>
      <c r="K71">
        <v>0.407799999999999</v>
      </c>
      <c r="L71">
        <v>5.0970000000000004</v>
      </c>
      <c r="M71">
        <v>1.5673605088566549</v>
      </c>
      <c r="N71">
        <v>3451.0532276754816</v>
      </c>
      <c r="O71">
        <v>1</v>
      </c>
    </row>
    <row r="72" spans="1:15">
      <c r="A72">
        <v>69</v>
      </c>
      <c r="B72" t="s">
        <v>432</v>
      </c>
      <c r="C72" t="s">
        <v>622</v>
      </c>
      <c r="D72" t="s">
        <v>77</v>
      </c>
      <c r="E72">
        <v>2000</v>
      </c>
      <c r="F72">
        <v>127034.1</v>
      </c>
      <c r="G72">
        <v>23970.5628163849</v>
      </c>
      <c r="H72">
        <v>44563.232601570897</v>
      </c>
      <c r="I72">
        <v>124958.23942475095</v>
      </c>
      <c r="J72">
        <v>232307.56539273358</v>
      </c>
      <c r="K72">
        <v>0.53789999999999805</v>
      </c>
      <c r="L72">
        <v>9.4670000000000005</v>
      </c>
      <c r="M72">
        <v>2.5599814183292717</v>
      </c>
      <c r="N72">
        <v>7718.7670396605481</v>
      </c>
      <c r="O72">
        <v>1</v>
      </c>
    </row>
    <row r="73" spans="1:15">
      <c r="A73">
        <v>70</v>
      </c>
      <c r="B73" t="s">
        <v>433</v>
      </c>
      <c r="C73" t="s">
        <v>78</v>
      </c>
      <c r="D73" t="s">
        <v>78</v>
      </c>
      <c r="E73">
        <v>2000</v>
      </c>
      <c r="F73">
        <v>4998.5640000000003</v>
      </c>
      <c r="G73">
        <v>3901.8369428739202</v>
      </c>
      <c r="H73">
        <v>12239.1372110223</v>
      </c>
      <c r="I73">
        <v>8340.5431265166299</v>
      </c>
      <c r="J73">
        <v>26162.305917555226</v>
      </c>
      <c r="K73">
        <v>0.31880000000000092</v>
      </c>
      <c r="L73">
        <v>6.9139999999999997</v>
      </c>
      <c r="M73">
        <v>2.1307328892507131</v>
      </c>
      <c r="N73">
        <v>3951.1299590460217</v>
      </c>
      <c r="O73">
        <v>1</v>
      </c>
    </row>
    <row r="74" spans="1:15">
      <c r="A74">
        <v>71</v>
      </c>
      <c r="B74" t="s">
        <v>434</v>
      </c>
      <c r="C74" t="s">
        <v>79</v>
      </c>
      <c r="D74" t="s">
        <v>79</v>
      </c>
      <c r="E74">
        <v>2000</v>
      </c>
      <c r="F74">
        <v>16733.226999999999</v>
      </c>
      <c r="G74">
        <v>6519.5557091260898</v>
      </c>
      <c r="H74">
        <v>13184.162418940799</v>
      </c>
      <c r="I74">
        <v>12518.803871386779</v>
      </c>
      <c r="J74">
        <v>25316.133628583131</v>
      </c>
      <c r="K74">
        <v>0.4944990437739058</v>
      </c>
      <c r="L74" t="e">
        <v>#N/A</v>
      </c>
      <c r="M74" t="e">
        <v>#N/A</v>
      </c>
      <c r="N74" t="e">
        <v>#N/A</v>
      </c>
      <c r="O74">
        <v>0</v>
      </c>
    </row>
    <row r="75" spans="1:15">
      <c r="A75">
        <v>72</v>
      </c>
      <c r="B75" t="s">
        <v>435</v>
      </c>
      <c r="C75" t="s">
        <v>80</v>
      </c>
      <c r="D75" t="s">
        <v>80</v>
      </c>
      <c r="E75">
        <v>2000</v>
      </c>
      <c r="F75">
        <v>30310.235000000001</v>
      </c>
      <c r="G75">
        <v>1267.71607286176</v>
      </c>
      <c r="H75">
        <v>2458.2433059177001</v>
      </c>
      <c r="I75">
        <v>2301.5725659496384</v>
      </c>
      <c r="J75">
        <v>4463.0067208641349</v>
      </c>
      <c r="K75">
        <v>0.51570000000000082</v>
      </c>
      <c r="L75">
        <v>4.1970000000000001</v>
      </c>
      <c r="M75">
        <v>1.3462096811049273</v>
      </c>
      <c r="N75">
        <v>1361.2681200351458</v>
      </c>
      <c r="O75">
        <v>1</v>
      </c>
    </row>
    <row r="76" spans="1:15">
      <c r="A76">
        <v>73</v>
      </c>
      <c r="B76" t="s">
        <v>625</v>
      </c>
      <c r="C76" t="s">
        <v>626</v>
      </c>
      <c r="D76" t="s">
        <v>82</v>
      </c>
      <c r="E76">
        <v>2000</v>
      </c>
      <c r="F76">
        <v>21647.682000000001</v>
      </c>
      <c r="G76">
        <v>1378.95273081049</v>
      </c>
      <c r="H76">
        <v>2688.5411012097702</v>
      </c>
      <c r="I76">
        <v>2240.768636427546</v>
      </c>
      <c r="J76">
        <v>4368.8216736742988</v>
      </c>
      <c r="K76">
        <v>0.51289999999999958</v>
      </c>
      <c r="L76" t="e">
        <v>#N/A</v>
      </c>
      <c r="M76" t="e">
        <v>#N/A</v>
      </c>
      <c r="N76" t="e">
        <v>#N/A</v>
      </c>
      <c r="O76">
        <v>0</v>
      </c>
    </row>
    <row r="77" spans="1:15">
      <c r="A77">
        <v>74</v>
      </c>
      <c r="B77" t="s">
        <v>627</v>
      </c>
      <c r="C77" t="s">
        <v>81</v>
      </c>
      <c r="D77" t="s">
        <v>83</v>
      </c>
      <c r="E77">
        <v>2000</v>
      </c>
      <c r="F77">
        <v>46779.22</v>
      </c>
      <c r="G77">
        <v>15702.2700661084</v>
      </c>
      <c r="H77">
        <v>30620.651454969699</v>
      </c>
      <c r="I77">
        <v>61277.35255183612</v>
      </c>
      <c r="J77">
        <v>119495.61730077294</v>
      </c>
      <c r="K77">
        <v>0.51279999999999804</v>
      </c>
      <c r="L77">
        <v>10.837</v>
      </c>
      <c r="M77">
        <v>2.5599814183292717</v>
      </c>
      <c r="N77">
        <v>6116.7651228664718</v>
      </c>
      <c r="O77">
        <v>1</v>
      </c>
    </row>
    <row r="78" spans="1:15">
      <c r="A78">
        <v>75</v>
      </c>
      <c r="B78" t="s">
        <v>439</v>
      </c>
      <c r="C78" t="s">
        <v>628</v>
      </c>
      <c r="D78" t="s">
        <v>84</v>
      </c>
      <c r="E78">
        <v>2000</v>
      </c>
      <c r="F78">
        <v>1973.5719999999999</v>
      </c>
      <c r="G78">
        <v>25135.369477562901</v>
      </c>
      <c r="H78">
        <v>59647.293492080898</v>
      </c>
      <c r="I78">
        <v>47286.487113441253</v>
      </c>
      <c r="J78">
        <v>112212.83130859335</v>
      </c>
      <c r="K78">
        <v>0.42140000000000016</v>
      </c>
      <c r="L78">
        <v>7.05</v>
      </c>
      <c r="M78">
        <v>2.1802727856393753</v>
      </c>
      <c r="N78">
        <v>20040.205324401548</v>
      </c>
      <c r="O78">
        <v>1</v>
      </c>
    </row>
    <row r="79" spans="1:15">
      <c r="A79">
        <v>76</v>
      </c>
      <c r="B79" t="s">
        <v>440</v>
      </c>
      <c r="C79" t="s">
        <v>629</v>
      </c>
      <c r="D79" t="s">
        <v>85</v>
      </c>
      <c r="E79">
        <v>2000</v>
      </c>
      <c r="F79">
        <v>4685.2299999999996</v>
      </c>
      <c r="G79">
        <v>3389.2782550153001</v>
      </c>
      <c r="H79">
        <v>7709.9141378874001</v>
      </c>
      <c r="I79">
        <v>4595.6933757892193</v>
      </c>
      <c r="J79">
        <v>10454.261546381302</v>
      </c>
      <c r="K79">
        <v>0.43959999999999988</v>
      </c>
      <c r="L79" t="e">
        <v>#N/A</v>
      </c>
      <c r="M79" t="e">
        <v>#N/A</v>
      </c>
      <c r="N79" t="e">
        <v>#N/A</v>
      </c>
      <c r="O79">
        <v>0</v>
      </c>
    </row>
    <row r="80" spans="1:15">
      <c r="A80">
        <v>77</v>
      </c>
      <c r="B80" t="s">
        <v>441</v>
      </c>
      <c r="C80" t="s">
        <v>86</v>
      </c>
      <c r="D80" t="s">
        <v>86</v>
      </c>
      <c r="E80">
        <v>2000</v>
      </c>
      <c r="F80">
        <v>5497.7330000000002</v>
      </c>
      <c r="G80">
        <v>1257.3474416746701</v>
      </c>
      <c r="H80">
        <v>2528.8564796352998</v>
      </c>
      <c r="I80">
        <v>2430.8651626781502</v>
      </c>
      <c r="J80">
        <v>4889.1093376471281</v>
      </c>
      <c r="K80">
        <v>0.49719999999999964</v>
      </c>
      <c r="L80" t="e">
        <v>#N/A</v>
      </c>
      <c r="M80" t="e">
        <v>#N/A</v>
      </c>
      <c r="N80" t="e">
        <v>#N/A</v>
      </c>
      <c r="O80">
        <v>0</v>
      </c>
    </row>
    <row r="81" spans="1:15">
      <c r="A81">
        <v>78</v>
      </c>
      <c r="B81" t="s">
        <v>446</v>
      </c>
      <c r="C81" t="s">
        <v>91</v>
      </c>
      <c r="D81" t="s">
        <v>91</v>
      </c>
      <c r="E81">
        <v>2000</v>
      </c>
      <c r="F81">
        <v>5115.45</v>
      </c>
      <c r="G81">
        <v>10334.8500650878</v>
      </c>
      <c r="H81">
        <v>30477.293025915202</v>
      </c>
      <c r="I81" t="e">
        <v>#VALUE!</v>
      </c>
      <c r="J81" t="e">
        <v>#VALUE!</v>
      </c>
      <c r="K81">
        <v>0.33909999999999851</v>
      </c>
      <c r="L81" t="e">
        <v>#N/A</v>
      </c>
      <c r="M81" t="e">
        <v>#N/A</v>
      </c>
      <c r="N81" t="e">
        <v>#VALUE!</v>
      </c>
      <c r="O81">
        <v>0</v>
      </c>
    </row>
    <row r="82" spans="1:15">
      <c r="A82">
        <v>79</v>
      </c>
      <c r="B82" t="s">
        <v>443</v>
      </c>
      <c r="C82" t="s">
        <v>631</v>
      </c>
      <c r="D82" t="s">
        <v>88</v>
      </c>
      <c r="E82">
        <v>2000</v>
      </c>
      <c r="F82">
        <v>3578.0360000000001</v>
      </c>
      <c r="G82">
        <v>6174.8981983175099</v>
      </c>
      <c r="H82">
        <v>17190.6965432002</v>
      </c>
      <c r="I82">
        <v>14138.604019496372</v>
      </c>
      <c r="J82">
        <v>39361.369764744923</v>
      </c>
      <c r="K82">
        <v>0.35919999999999991</v>
      </c>
      <c r="L82" t="e">
        <v>#N/A</v>
      </c>
      <c r="M82" t="e">
        <v>#N/A</v>
      </c>
      <c r="N82" t="e">
        <v>#N/A</v>
      </c>
      <c r="O82">
        <v>0</v>
      </c>
    </row>
    <row r="83" spans="1:15">
      <c r="A83">
        <v>80</v>
      </c>
      <c r="B83" t="s">
        <v>444</v>
      </c>
      <c r="C83" t="s">
        <v>632</v>
      </c>
      <c r="D83" t="s">
        <v>89</v>
      </c>
      <c r="E83">
        <v>2000</v>
      </c>
      <c r="F83">
        <v>1846.827</v>
      </c>
      <c r="G83">
        <v>1833.9017334149701</v>
      </c>
      <c r="H83">
        <v>4317.0944760239599</v>
      </c>
      <c r="I83">
        <v>5705.448754159439</v>
      </c>
      <c r="J83">
        <v>13430.905730130566</v>
      </c>
      <c r="K83">
        <v>0.42479999999999812</v>
      </c>
      <c r="L83">
        <v>4.2320000000000002</v>
      </c>
      <c r="M83">
        <v>1.3541961079408009</v>
      </c>
      <c r="N83">
        <v>1822.7687675790551</v>
      </c>
      <c r="O83">
        <v>1</v>
      </c>
    </row>
    <row r="84" spans="1:15">
      <c r="A84">
        <v>81</v>
      </c>
      <c r="B84" t="s">
        <v>445</v>
      </c>
      <c r="C84" t="s">
        <v>633</v>
      </c>
      <c r="D84" t="s">
        <v>90</v>
      </c>
      <c r="E84">
        <v>2000</v>
      </c>
      <c r="F84">
        <v>3148.9989999999998</v>
      </c>
      <c r="G84">
        <v>472.43695087625099</v>
      </c>
      <c r="H84">
        <v>1174.0480886586699</v>
      </c>
      <c r="I84">
        <v>1955.0674150799287</v>
      </c>
      <c r="J84">
        <v>4858.5174331011913</v>
      </c>
      <c r="K84">
        <v>0.40240000000000187</v>
      </c>
      <c r="L84">
        <v>2.4500000000000002</v>
      </c>
      <c r="M84">
        <v>0.95208591634628204</v>
      </c>
      <c r="N84">
        <v>612.63798931409167</v>
      </c>
      <c r="O84">
        <v>1</v>
      </c>
    </row>
    <row r="85" spans="1:15">
      <c r="A85">
        <v>82</v>
      </c>
      <c r="B85" t="s">
        <v>447</v>
      </c>
      <c r="C85" t="s">
        <v>634</v>
      </c>
      <c r="D85" t="s">
        <v>92</v>
      </c>
      <c r="E85">
        <v>2000</v>
      </c>
      <c r="F85">
        <v>3620.7559999999999</v>
      </c>
      <c r="G85">
        <v>9160.7683841854505</v>
      </c>
      <c r="H85">
        <v>17586.419419127898</v>
      </c>
      <c r="I85">
        <v>15481.683889375014</v>
      </c>
      <c r="J85">
        <v>29721.020636536214</v>
      </c>
      <c r="K85">
        <v>0.52090014265335471</v>
      </c>
      <c r="L85" t="e">
        <v>#N/A</v>
      </c>
      <c r="M85" t="e">
        <v>#N/A</v>
      </c>
      <c r="N85" t="e">
        <v>#N/A</v>
      </c>
      <c r="O85">
        <v>0</v>
      </c>
    </row>
    <row r="86" spans="1:15">
      <c r="A86">
        <v>83</v>
      </c>
      <c r="B86" t="s">
        <v>442</v>
      </c>
      <c r="C86" t="s">
        <v>630</v>
      </c>
      <c r="D86" t="s">
        <v>87</v>
      </c>
      <c r="E86">
        <v>2000</v>
      </c>
      <c r="F86">
        <v>2404.9259999999999</v>
      </c>
      <c r="G86">
        <v>8998.1105370316109</v>
      </c>
      <c r="H86">
        <v>16372.110475763</v>
      </c>
      <c r="I86">
        <v>10859.331661623064</v>
      </c>
      <c r="J86">
        <v>19758.61231370192</v>
      </c>
      <c r="K86">
        <v>0.54959991568296973</v>
      </c>
      <c r="L86" t="e">
        <v>#N/A</v>
      </c>
      <c r="M86" t="e">
        <v>#N/A</v>
      </c>
      <c r="N86" t="e">
        <v>#N/A</v>
      </c>
      <c r="O86">
        <v>0</v>
      </c>
    </row>
    <row r="87" spans="1:15">
      <c r="A87">
        <v>84</v>
      </c>
      <c r="B87" t="s">
        <v>448</v>
      </c>
      <c r="C87" t="s">
        <v>93</v>
      </c>
      <c r="D87" t="s">
        <v>93</v>
      </c>
      <c r="E87">
        <v>2000</v>
      </c>
      <c r="F87">
        <v>435.22500000000002</v>
      </c>
      <c r="G87">
        <v>48217.271635431498</v>
      </c>
      <c r="H87">
        <v>114448.781475033</v>
      </c>
      <c r="I87">
        <v>158008.02224745799</v>
      </c>
      <c r="J87">
        <v>375048.71171957674</v>
      </c>
      <c r="K87">
        <v>0.42130000000000084</v>
      </c>
      <c r="L87">
        <v>8.5960000000000001</v>
      </c>
      <c r="M87">
        <v>2.5599814183292717</v>
      </c>
      <c r="N87">
        <v>24916.265349414061</v>
      </c>
      <c r="O87">
        <v>1</v>
      </c>
    </row>
    <row r="88" spans="1:15">
      <c r="A88">
        <v>85</v>
      </c>
      <c r="B88" t="s">
        <v>449</v>
      </c>
      <c r="C88" t="s">
        <v>636</v>
      </c>
      <c r="D88" t="s">
        <v>94</v>
      </c>
      <c r="E88">
        <v>2000</v>
      </c>
      <c r="F88">
        <v>2041.4670000000001</v>
      </c>
      <c r="G88">
        <v>5270.72646981457</v>
      </c>
      <c r="H88">
        <v>11445.6600864594</v>
      </c>
      <c r="I88">
        <v>16767.998526955111</v>
      </c>
      <c r="J88">
        <v>36412.59180663422</v>
      </c>
      <c r="K88">
        <v>0.46050000000000141</v>
      </c>
      <c r="L88" t="e">
        <v>#N/A</v>
      </c>
      <c r="M88" t="e">
        <v>#N/A</v>
      </c>
      <c r="N88" t="e">
        <v>#N/A</v>
      </c>
      <c r="O88">
        <v>0</v>
      </c>
    </row>
    <row r="89" spans="1:15">
      <c r="A89">
        <v>86</v>
      </c>
      <c r="B89" t="s">
        <v>450</v>
      </c>
      <c r="C89" t="s">
        <v>637</v>
      </c>
      <c r="D89" t="s">
        <v>95</v>
      </c>
      <c r="E89">
        <v>2000</v>
      </c>
      <c r="F89">
        <v>15506.472</v>
      </c>
      <c r="G89">
        <v>822.88212149829997</v>
      </c>
      <c r="H89">
        <v>1721.8709384772901</v>
      </c>
      <c r="I89">
        <v>700.41711010871541</v>
      </c>
      <c r="J89">
        <v>1465.6143756198217</v>
      </c>
      <c r="K89">
        <v>0.47790000000000177</v>
      </c>
      <c r="L89">
        <v>3.972</v>
      </c>
      <c r="M89">
        <v>1.2947841477700661</v>
      </c>
      <c r="N89">
        <v>1439.698052251716</v>
      </c>
      <c r="O89">
        <v>1</v>
      </c>
    </row>
    <row r="90" spans="1:15">
      <c r="A90">
        <v>87</v>
      </c>
      <c r="B90" t="s">
        <v>453</v>
      </c>
      <c r="C90" t="s">
        <v>642</v>
      </c>
      <c r="D90" t="s">
        <v>98</v>
      </c>
      <c r="E90">
        <v>2000</v>
      </c>
      <c r="F90">
        <v>10665.383</v>
      </c>
      <c r="G90">
        <v>1046.71916979</v>
      </c>
      <c r="H90">
        <v>2137.9068010416599</v>
      </c>
      <c r="I90">
        <v>1239.6853222544189</v>
      </c>
      <c r="J90">
        <v>2532.0370144085273</v>
      </c>
      <c r="K90">
        <v>0.48960000000000153</v>
      </c>
      <c r="L90">
        <v>0.876</v>
      </c>
      <c r="M90">
        <v>0.69277639097953347</v>
      </c>
      <c r="N90">
        <v>2839.2485782486415</v>
      </c>
      <c r="O90">
        <v>1</v>
      </c>
    </row>
    <row r="91" spans="1:15">
      <c r="A91">
        <v>88</v>
      </c>
      <c r="B91" t="s">
        <v>455</v>
      </c>
      <c r="C91" t="s">
        <v>646</v>
      </c>
      <c r="D91" t="s">
        <v>100</v>
      </c>
      <c r="E91">
        <v>2000</v>
      </c>
      <c r="F91">
        <v>1179.3679999999999</v>
      </c>
      <c r="G91">
        <v>15121.0071786963</v>
      </c>
      <c r="H91">
        <v>34617.690427418303</v>
      </c>
      <c r="I91">
        <v>23244.796251514545</v>
      </c>
      <c r="J91">
        <v>53216.108634419797</v>
      </c>
      <c r="K91">
        <v>0.43679999999999958</v>
      </c>
      <c r="L91">
        <v>5.9989999999999997</v>
      </c>
      <c r="M91">
        <v>1.8254581561612826</v>
      </c>
      <c r="N91">
        <v>15344.308271548587</v>
      </c>
      <c r="O91">
        <v>1</v>
      </c>
    </row>
    <row r="92" spans="1:15">
      <c r="A92">
        <v>89</v>
      </c>
      <c r="B92" t="s">
        <v>454</v>
      </c>
      <c r="C92" t="s">
        <v>645</v>
      </c>
      <c r="D92" t="s">
        <v>99</v>
      </c>
      <c r="E92">
        <v>2000</v>
      </c>
      <c r="F92">
        <v>2667.8589999999999</v>
      </c>
      <c r="G92">
        <v>1521.4813844151499</v>
      </c>
      <c r="H92">
        <v>3436.0464869357502</v>
      </c>
      <c r="I92">
        <v>2887.1201439998963</v>
      </c>
      <c r="J92">
        <v>6520.1448599817004</v>
      </c>
      <c r="K92">
        <v>0.44279999999999992</v>
      </c>
      <c r="L92">
        <v>2.4239999999999999</v>
      </c>
      <c r="M92">
        <v>0.94709866908873719</v>
      </c>
      <c r="N92">
        <v>2646.3105225429172</v>
      </c>
      <c r="O92">
        <v>1</v>
      </c>
    </row>
    <row r="93" spans="1:15">
      <c r="A93">
        <v>90</v>
      </c>
      <c r="B93" t="s">
        <v>456</v>
      </c>
      <c r="C93" t="s">
        <v>101</v>
      </c>
      <c r="D93" t="s">
        <v>101</v>
      </c>
      <c r="E93">
        <v>2000</v>
      </c>
      <c r="F93">
        <v>100087.9</v>
      </c>
      <c r="G93">
        <v>8082.0911728381998</v>
      </c>
      <c r="H93">
        <v>19621.488644909401</v>
      </c>
      <c r="I93">
        <v>22072.876182058411</v>
      </c>
      <c r="J93">
        <v>53587.948973193408</v>
      </c>
      <c r="K93">
        <v>0.41190000000000088</v>
      </c>
      <c r="L93">
        <v>7.2290000000000001</v>
      </c>
      <c r="M93">
        <v>2.2472359626610525</v>
      </c>
      <c r="N93">
        <v>5323.1894023119339</v>
      </c>
      <c r="O93">
        <v>1</v>
      </c>
    </row>
    <row r="94" spans="1:15">
      <c r="A94">
        <v>91</v>
      </c>
      <c r="B94" t="s">
        <v>451</v>
      </c>
      <c r="C94" t="s">
        <v>638</v>
      </c>
      <c r="D94" t="s">
        <v>96</v>
      </c>
      <c r="E94">
        <v>2000</v>
      </c>
      <c r="F94">
        <v>10873.591</v>
      </c>
      <c r="G94">
        <v>838.98914970459805</v>
      </c>
      <c r="H94">
        <v>1742.4489090438101</v>
      </c>
      <c r="I94">
        <v>957.22952916008012</v>
      </c>
      <c r="J94">
        <v>1988.0156368848934</v>
      </c>
      <c r="K94">
        <v>0.48150000000000198</v>
      </c>
      <c r="L94">
        <v>3.2040000000000002</v>
      </c>
      <c r="M94">
        <v>1.108721999269644</v>
      </c>
      <c r="N94">
        <v>1472.7696567562891</v>
      </c>
      <c r="O94">
        <v>1</v>
      </c>
    </row>
    <row r="95" spans="1:15">
      <c r="A95">
        <v>92</v>
      </c>
      <c r="B95" t="s">
        <v>452</v>
      </c>
      <c r="C95" t="s">
        <v>639</v>
      </c>
      <c r="D95" t="s">
        <v>97</v>
      </c>
      <c r="E95">
        <v>2000</v>
      </c>
      <c r="F95">
        <v>21793.293000000001</v>
      </c>
      <c r="G95">
        <v>11405.502396018501</v>
      </c>
      <c r="H95">
        <v>26868.085738559501</v>
      </c>
      <c r="I95">
        <v>29087.262354516759</v>
      </c>
      <c r="J95">
        <v>68521.230517118442</v>
      </c>
      <c r="K95">
        <v>0.42449999999999971</v>
      </c>
      <c r="L95">
        <v>6.8</v>
      </c>
      <c r="M95">
        <v>2.0900751034580325</v>
      </c>
      <c r="N95">
        <v>8106.1542103614247</v>
      </c>
      <c r="O95">
        <v>1</v>
      </c>
    </row>
    <row r="96" spans="1:15">
      <c r="A96">
        <v>93</v>
      </c>
      <c r="B96" t="s">
        <v>457</v>
      </c>
      <c r="C96" t="s">
        <v>649</v>
      </c>
      <c r="D96" t="s">
        <v>102</v>
      </c>
      <c r="E96">
        <v>2000</v>
      </c>
      <c r="F96">
        <v>4430.6540000000005</v>
      </c>
      <c r="G96">
        <v>2217.59424706344</v>
      </c>
      <c r="H96">
        <v>4370.5054225229496</v>
      </c>
      <c r="I96">
        <v>14754.079234200979</v>
      </c>
      <c r="J96">
        <v>29077.80960506971</v>
      </c>
      <c r="K96">
        <v>0.50739995324918175</v>
      </c>
      <c r="L96" t="e">
        <v>#N/A</v>
      </c>
      <c r="M96" t="e">
        <v>#N/A</v>
      </c>
      <c r="N96" t="e">
        <v>#N/A</v>
      </c>
      <c r="O96">
        <v>0</v>
      </c>
    </row>
    <row r="97" spans="1:15">
      <c r="A97">
        <v>94</v>
      </c>
      <c r="B97" t="s">
        <v>458</v>
      </c>
      <c r="C97" t="s">
        <v>650</v>
      </c>
      <c r="D97" t="s">
        <v>103</v>
      </c>
      <c r="E97">
        <v>2000</v>
      </c>
      <c r="F97">
        <v>2600.835</v>
      </c>
      <c r="G97">
        <v>1500.7812743612601</v>
      </c>
      <c r="H97">
        <v>2935.8006149477001</v>
      </c>
      <c r="I97">
        <v>5402.8436111007622</v>
      </c>
      <c r="J97">
        <v>10568.942901214354</v>
      </c>
      <c r="K97">
        <v>0.51119999999999854</v>
      </c>
      <c r="L97" t="e">
        <v>#N/A</v>
      </c>
      <c r="M97" t="e">
        <v>#N/A</v>
      </c>
      <c r="N97" t="e">
        <v>#N/A</v>
      </c>
      <c r="O97">
        <v>0</v>
      </c>
    </row>
    <row r="98" spans="1:15">
      <c r="A98">
        <v>95</v>
      </c>
      <c r="B98" t="s">
        <v>460</v>
      </c>
      <c r="C98" t="s">
        <v>651</v>
      </c>
      <c r="D98" t="s">
        <v>105</v>
      </c>
      <c r="E98">
        <v>2000</v>
      </c>
      <c r="F98">
        <v>30122.35</v>
      </c>
      <c r="G98">
        <v>3720.0482799653801</v>
      </c>
      <c r="H98">
        <v>9434.5632258822807</v>
      </c>
      <c r="I98">
        <v>7137.0325250388705</v>
      </c>
      <c r="J98">
        <v>18100.513631851067</v>
      </c>
      <c r="K98">
        <v>0.39429999999999965</v>
      </c>
      <c r="L98">
        <v>5.07</v>
      </c>
      <c r="M98">
        <v>1.5602249350471808</v>
      </c>
      <c r="N98">
        <v>4386.9405065674591</v>
      </c>
      <c r="O98">
        <v>1</v>
      </c>
    </row>
    <row r="99" spans="1:15">
      <c r="A99">
        <v>96</v>
      </c>
      <c r="B99" t="s">
        <v>461</v>
      </c>
      <c r="C99" t="s">
        <v>106</v>
      </c>
      <c r="D99" t="s">
        <v>106</v>
      </c>
      <c r="E99">
        <v>2000</v>
      </c>
      <c r="F99">
        <v>17672.631000000001</v>
      </c>
      <c r="G99">
        <v>1093.1794852394901</v>
      </c>
      <c r="H99">
        <v>2086.2203916784201</v>
      </c>
      <c r="I99">
        <v>638.11649235872164</v>
      </c>
      <c r="J99">
        <v>1217.7795655700818</v>
      </c>
      <c r="K99">
        <v>0.52399999999999902</v>
      </c>
      <c r="L99">
        <v>1.105</v>
      </c>
      <c r="M99">
        <v>0.7255756058695515</v>
      </c>
      <c r="N99">
        <v>3748.2500211397114</v>
      </c>
      <c r="O99">
        <v>1</v>
      </c>
    </row>
    <row r="100" spans="1:15">
      <c r="A100">
        <v>97</v>
      </c>
      <c r="B100" t="s">
        <v>463</v>
      </c>
      <c r="C100" t="s">
        <v>108</v>
      </c>
      <c r="D100" t="s">
        <v>108</v>
      </c>
      <c r="E100">
        <v>2000</v>
      </c>
      <c r="F100">
        <v>1826.279</v>
      </c>
      <c r="G100">
        <v>5268.5523888381904</v>
      </c>
      <c r="H100">
        <v>13314.5119758357</v>
      </c>
      <c r="I100">
        <v>10058.825521293758</v>
      </c>
      <c r="J100">
        <v>25420.332376279381</v>
      </c>
      <c r="K100">
        <v>0.39570000000000033</v>
      </c>
      <c r="L100">
        <v>3.4140000000000001</v>
      </c>
      <c r="M100">
        <v>1.1567657911276323</v>
      </c>
      <c r="N100">
        <v>8370.4300194109001</v>
      </c>
      <c r="O100">
        <v>1</v>
      </c>
    </row>
    <row r="101" spans="1:15">
      <c r="A101">
        <v>98</v>
      </c>
      <c r="B101" t="s">
        <v>464</v>
      </c>
      <c r="C101" t="s">
        <v>652</v>
      </c>
      <c r="D101" t="s">
        <v>109</v>
      </c>
      <c r="E101">
        <v>2000</v>
      </c>
      <c r="F101">
        <v>24702.118999999999</v>
      </c>
      <c r="G101">
        <v>1421.0088012766801</v>
      </c>
      <c r="H101">
        <v>3011.8880908789502</v>
      </c>
      <c r="I101">
        <v>2868.491669374549</v>
      </c>
      <c r="J101">
        <v>6079.8890830321461</v>
      </c>
      <c r="K101">
        <v>0.47179999999999711</v>
      </c>
      <c r="L101">
        <v>2.4279999999999999</v>
      </c>
      <c r="M101">
        <v>0.94786423405995845</v>
      </c>
      <c r="N101">
        <v>2248.2304516415029</v>
      </c>
      <c r="O101">
        <v>1</v>
      </c>
    </row>
    <row r="102" spans="1:15">
      <c r="A102">
        <v>99</v>
      </c>
      <c r="B102" t="s">
        <v>466</v>
      </c>
      <c r="C102" t="s">
        <v>656</v>
      </c>
      <c r="D102" t="s">
        <v>111</v>
      </c>
      <c r="E102">
        <v>2000</v>
      </c>
      <c r="F102">
        <v>3818.201</v>
      </c>
      <c r="G102">
        <v>20422.9175382059</v>
      </c>
      <c r="H102">
        <v>40976.961352740604</v>
      </c>
      <c r="I102">
        <v>78708.992449956277</v>
      </c>
      <c r="J102">
        <v>157923.33958658975</v>
      </c>
      <c r="K102">
        <v>0.49839999999999962</v>
      </c>
      <c r="L102">
        <v>11.737</v>
      </c>
      <c r="M102">
        <v>2.5599814183292717</v>
      </c>
      <c r="N102">
        <v>8236.1090758555183</v>
      </c>
      <c r="O102">
        <v>1</v>
      </c>
    </row>
    <row r="103" spans="1:15">
      <c r="A103">
        <v>100</v>
      </c>
      <c r="B103" t="s">
        <v>469</v>
      </c>
      <c r="C103" t="s">
        <v>114</v>
      </c>
      <c r="D103" t="s">
        <v>114</v>
      </c>
      <c r="E103">
        <v>2000</v>
      </c>
      <c r="F103">
        <v>123749.58900000001</v>
      </c>
      <c r="G103">
        <v>1073.9304041385101</v>
      </c>
      <c r="H103">
        <v>2709.20889035952</v>
      </c>
      <c r="I103">
        <v>988.32815019649377</v>
      </c>
      <c r="J103">
        <v>2493.2597129074093</v>
      </c>
      <c r="K103">
        <v>0.39639999999999864</v>
      </c>
      <c r="L103">
        <v>1.464</v>
      </c>
      <c r="M103">
        <v>0.78014771423792062</v>
      </c>
      <c r="N103">
        <v>3617.7114277013898</v>
      </c>
      <c r="O103">
        <v>1</v>
      </c>
    </row>
    <row r="104" spans="1:15">
      <c r="A104">
        <v>101</v>
      </c>
      <c r="B104" t="s">
        <v>467</v>
      </c>
      <c r="C104" t="s">
        <v>112</v>
      </c>
      <c r="D104" t="s">
        <v>112</v>
      </c>
      <c r="E104">
        <v>2000</v>
      </c>
      <c r="F104">
        <v>4812.5690000000004</v>
      </c>
      <c r="G104">
        <v>3437.85117819365</v>
      </c>
      <c r="H104">
        <v>8801.4623097635795</v>
      </c>
      <c r="I104">
        <v>6622.9617328474405</v>
      </c>
      <c r="J104">
        <v>16955.867211591012</v>
      </c>
      <c r="K104">
        <v>0.3905999999999995</v>
      </c>
      <c r="L104">
        <v>4.5789999999999997</v>
      </c>
      <c r="M104">
        <v>1.4359849642597342</v>
      </c>
      <c r="N104">
        <v>4437.5929979318626</v>
      </c>
      <c r="O104">
        <v>1</v>
      </c>
    </row>
    <row r="105" spans="1:15">
      <c r="A105">
        <v>102</v>
      </c>
      <c r="B105" t="s">
        <v>468</v>
      </c>
      <c r="C105" t="s">
        <v>657</v>
      </c>
      <c r="D105" t="s">
        <v>113</v>
      </c>
      <c r="E105">
        <v>2000</v>
      </c>
      <c r="F105">
        <v>10173.661</v>
      </c>
      <c r="G105">
        <v>807.45442632814002</v>
      </c>
      <c r="H105">
        <v>1748.87248500788</v>
      </c>
      <c r="I105">
        <v>1023.0948536747687</v>
      </c>
      <c r="J105">
        <v>2215.9299408160418</v>
      </c>
      <c r="K105">
        <v>0.46170000000000105</v>
      </c>
      <c r="L105">
        <v>1.018</v>
      </c>
      <c r="M105">
        <v>0.71293573205551652</v>
      </c>
      <c r="N105">
        <v>2183.1117707380213</v>
      </c>
      <c r="O105">
        <v>1</v>
      </c>
    </row>
    <row r="106" spans="1:15">
      <c r="A106">
        <v>103</v>
      </c>
      <c r="B106" t="s">
        <v>470</v>
      </c>
      <c r="C106" t="s">
        <v>115</v>
      </c>
      <c r="D106" t="s">
        <v>115</v>
      </c>
      <c r="E106">
        <v>2000</v>
      </c>
      <c r="F106">
        <v>4502.1689999999999</v>
      </c>
      <c r="G106">
        <v>33092.154596320499</v>
      </c>
      <c r="H106">
        <v>63909.143677714397</v>
      </c>
      <c r="I106">
        <v>139289.07525143962</v>
      </c>
      <c r="J106">
        <v>269001.69032722997</v>
      </c>
      <c r="K106">
        <v>0.5177999999999997</v>
      </c>
      <c r="L106">
        <v>11.848000000000001</v>
      </c>
      <c r="M106">
        <v>2.5599814183292717</v>
      </c>
      <c r="N106">
        <v>12299.524715213787</v>
      </c>
      <c r="O106">
        <v>1</v>
      </c>
    </row>
    <row r="107" spans="1:15">
      <c r="A107">
        <v>104</v>
      </c>
      <c r="B107" t="s">
        <v>465</v>
      </c>
      <c r="C107" t="s">
        <v>653</v>
      </c>
      <c r="D107" t="s">
        <v>110</v>
      </c>
      <c r="E107">
        <v>2000</v>
      </c>
      <c r="F107">
        <v>15897.51</v>
      </c>
      <c r="G107">
        <v>26293.085252913501</v>
      </c>
      <c r="H107">
        <v>56690.567600072303</v>
      </c>
      <c r="I107">
        <v>104061.45022045403</v>
      </c>
      <c r="J107">
        <v>224367.07680132421</v>
      </c>
      <c r="K107">
        <v>0.46379999999999943</v>
      </c>
      <c r="L107">
        <v>9.3550000000000004</v>
      </c>
      <c r="M107">
        <v>2.5599814183292717</v>
      </c>
      <c r="N107">
        <v>11246.267250753297</v>
      </c>
      <c r="O107">
        <v>1</v>
      </c>
    </row>
    <row r="108" spans="1:15">
      <c r="A108">
        <v>105</v>
      </c>
      <c r="B108" t="s">
        <v>471</v>
      </c>
      <c r="C108" t="s">
        <v>658</v>
      </c>
      <c r="D108" t="s">
        <v>116</v>
      </c>
      <c r="E108">
        <v>2000</v>
      </c>
      <c r="F108">
        <v>2533.3890000000001</v>
      </c>
      <c r="G108">
        <v>16193.1818699958</v>
      </c>
      <c r="H108">
        <v>57038.329940105199</v>
      </c>
      <c r="I108">
        <v>19012.065344702249</v>
      </c>
      <c r="J108">
        <v>66967.472154640112</v>
      </c>
      <c r="K108">
        <v>0.28389999999999888</v>
      </c>
      <c r="L108">
        <v>4.9059999999999997</v>
      </c>
      <c r="M108">
        <v>1.5175755066820156</v>
      </c>
      <c r="N108">
        <v>34728.663308499723</v>
      </c>
      <c r="O108">
        <v>1</v>
      </c>
    </row>
    <row r="109" spans="1:15">
      <c r="A109">
        <v>106</v>
      </c>
      <c r="B109" t="s">
        <v>472</v>
      </c>
      <c r="C109" t="s">
        <v>117</v>
      </c>
      <c r="D109" t="s">
        <v>117</v>
      </c>
      <c r="E109">
        <v>2000</v>
      </c>
      <c r="F109">
        <v>141553.77499999999</v>
      </c>
      <c r="G109">
        <v>2477.1285680547198</v>
      </c>
      <c r="H109">
        <v>6718.5477842547398</v>
      </c>
      <c r="I109">
        <v>4068.2633222906575</v>
      </c>
      <c r="J109">
        <v>11034.074646842046</v>
      </c>
      <c r="K109">
        <v>0.36869999999999958</v>
      </c>
      <c r="L109">
        <v>3.875</v>
      </c>
      <c r="M109">
        <v>1.2696610816332128</v>
      </c>
      <c r="N109">
        <v>4144.4343382593361</v>
      </c>
      <c r="O109">
        <v>1</v>
      </c>
    </row>
    <row r="110" spans="1:15">
      <c r="A110">
        <v>107</v>
      </c>
      <c r="B110" t="s">
        <v>473</v>
      </c>
      <c r="C110" t="s">
        <v>118</v>
      </c>
      <c r="D110" t="s">
        <v>118</v>
      </c>
      <c r="E110">
        <v>2000</v>
      </c>
      <c r="F110">
        <v>2836.2979999999998</v>
      </c>
      <c r="G110">
        <v>7934.7985594449701</v>
      </c>
      <c r="H110">
        <v>18798.385594515399</v>
      </c>
      <c r="I110">
        <v>20053.522495066296</v>
      </c>
      <c r="J110">
        <v>47508.937443890653</v>
      </c>
      <c r="K110">
        <v>0.42210000000000109</v>
      </c>
      <c r="L110">
        <v>8.5519999999999996</v>
      </c>
      <c r="M110">
        <v>2.5599814183292717</v>
      </c>
      <c r="N110">
        <v>4651.1596315587749</v>
      </c>
      <c r="O110">
        <v>1</v>
      </c>
    </row>
    <row r="111" spans="1:15">
      <c r="A111">
        <v>108</v>
      </c>
      <c r="B111" t="s">
        <v>476</v>
      </c>
      <c r="C111" t="s">
        <v>121</v>
      </c>
      <c r="D111" t="s">
        <v>121</v>
      </c>
      <c r="E111">
        <v>2000</v>
      </c>
      <c r="F111">
        <v>27012.899000000001</v>
      </c>
      <c r="G111">
        <v>4204.50041198892</v>
      </c>
      <c r="H111">
        <v>11108.323413444899</v>
      </c>
      <c r="I111">
        <v>14229.301865080213</v>
      </c>
      <c r="J111">
        <v>37593.92830932662</v>
      </c>
      <c r="K111">
        <v>0.37850000000000228</v>
      </c>
      <c r="L111">
        <v>7.5839999999999996</v>
      </c>
      <c r="M111">
        <v>2.3861853429080062</v>
      </c>
      <c r="N111">
        <v>2553.6478514319347</v>
      </c>
      <c r="O111">
        <v>1</v>
      </c>
    </row>
    <row r="112" spans="1:15">
      <c r="A112">
        <v>109</v>
      </c>
      <c r="B112" t="s">
        <v>477</v>
      </c>
      <c r="C112" t="s">
        <v>662</v>
      </c>
      <c r="D112" t="s">
        <v>122</v>
      </c>
      <c r="E112">
        <v>2000</v>
      </c>
      <c r="F112">
        <v>79739.824999999997</v>
      </c>
      <c r="G112">
        <v>3825.61537523162</v>
      </c>
      <c r="H112">
        <v>9229.4701453115194</v>
      </c>
      <c r="I112">
        <v>7844.2133847203231</v>
      </c>
      <c r="J112">
        <v>18924.519625380777</v>
      </c>
      <c r="K112">
        <v>0.41449999999999948</v>
      </c>
      <c r="L112">
        <v>8.2089999999999996</v>
      </c>
      <c r="M112">
        <v>2.5599814183292717</v>
      </c>
      <c r="N112">
        <v>2531.2971691380158</v>
      </c>
      <c r="O112">
        <v>1</v>
      </c>
    </row>
    <row r="113" spans="1:15">
      <c r="A113">
        <v>110</v>
      </c>
      <c r="B113" t="s">
        <v>474</v>
      </c>
      <c r="C113" t="s">
        <v>119</v>
      </c>
      <c r="D113" t="s">
        <v>119</v>
      </c>
      <c r="E113">
        <v>2000</v>
      </c>
      <c r="F113">
        <v>4926.9840000000004</v>
      </c>
      <c r="G113">
        <v>4354.5766739958599</v>
      </c>
      <c r="H113">
        <v>9055.0565065416195</v>
      </c>
      <c r="I113">
        <v>5022.6177199799158</v>
      </c>
      <c r="J113">
        <v>10444.204034060973</v>
      </c>
      <c r="K113">
        <v>0.48089999999999944</v>
      </c>
      <c r="L113">
        <v>2.8759999999999999</v>
      </c>
      <c r="M113">
        <v>1.03764321276856</v>
      </c>
      <c r="N113">
        <v>8134.1765106176363</v>
      </c>
      <c r="O113">
        <v>1</v>
      </c>
    </row>
    <row r="114" spans="1:15">
      <c r="A114">
        <v>111</v>
      </c>
      <c r="B114" t="s">
        <v>478</v>
      </c>
      <c r="C114" t="s">
        <v>123</v>
      </c>
      <c r="D114" t="s">
        <v>123</v>
      </c>
      <c r="E114">
        <v>2000</v>
      </c>
      <c r="F114">
        <v>38649.33</v>
      </c>
      <c r="G114">
        <v>8611.0044833569409</v>
      </c>
      <c r="H114">
        <v>16642.838197442801</v>
      </c>
      <c r="I114">
        <v>29379.979560680666</v>
      </c>
      <c r="J114">
        <v>56783.88009408686</v>
      </c>
      <c r="K114">
        <v>0.51740000000000219</v>
      </c>
      <c r="L114">
        <v>9.8350000000000009</v>
      </c>
      <c r="M114">
        <v>2.5599814183292717</v>
      </c>
      <c r="N114">
        <v>3551.9703804026312</v>
      </c>
      <c r="O114">
        <v>1</v>
      </c>
    </row>
    <row r="115" spans="1:15">
      <c r="A115">
        <v>112</v>
      </c>
      <c r="B115" t="s">
        <v>479</v>
      </c>
      <c r="C115" t="s">
        <v>663</v>
      </c>
      <c r="D115" t="s">
        <v>124</v>
      </c>
      <c r="E115">
        <v>2000</v>
      </c>
      <c r="F115">
        <v>10225.09</v>
      </c>
      <c r="G115">
        <v>17323.139607800102</v>
      </c>
      <c r="H115">
        <v>34000.2740094213</v>
      </c>
      <c r="I115">
        <v>56456.245349168552</v>
      </c>
      <c r="J115">
        <v>110807.15475793663</v>
      </c>
      <c r="K115">
        <v>0.50949999999999851</v>
      </c>
      <c r="L115">
        <v>5.8730000000000002</v>
      </c>
      <c r="M115">
        <v>1.7869977909525465</v>
      </c>
      <c r="N115">
        <v>10632.727986957158</v>
      </c>
      <c r="O115">
        <v>1</v>
      </c>
    </row>
    <row r="116" spans="1:15">
      <c r="A116">
        <v>113</v>
      </c>
      <c r="B116" t="s">
        <v>475</v>
      </c>
      <c r="C116" t="s">
        <v>661</v>
      </c>
      <c r="D116" t="s">
        <v>120</v>
      </c>
      <c r="E116">
        <v>2000</v>
      </c>
      <c r="F116">
        <v>5585.8280000000004</v>
      </c>
      <c r="G116">
        <v>4965.4136594354604</v>
      </c>
      <c r="H116">
        <v>13149.930242148999</v>
      </c>
      <c r="I116">
        <v>9357.5995414929021</v>
      </c>
      <c r="J116">
        <v>24781.778446750279</v>
      </c>
      <c r="K116">
        <v>0.37759999999999988</v>
      </c>
      <c r="L116">
        <v>6.1840000000000002</v>
      </c>
      <c r="M116">
        <v>1.8834326695630292</v>
      </c>
      <c r="N116">
        <v>5110.0204460940358</v>
      </c>
      <c r="O116">
        <v>1</v>
      </c>
    </row>
    <row r="117" spans="1:15">
      <c r="A117">
        <v>114</v>
      </c>
      <c r="B117" t="s">
        <v>480</v>
      </c>
      <c r="C117" t="s">
        <v>125</v>
      </c>
      <c r="D117" t="s">
        <v>125</v>
      </c>
      <c r="E117">
        <v>2000</v>
      </c>
      <c r="F117">
        <v>22451.920999999998</v>
      </c>
      <c r="G117">
        <v>5211.1096041738301</v>
      </c>
      <c r="H117">
        <v>10908.749433062199</v>
      </c>
      <c r="I117">
        <v>20877.63156133753</v>
      </c>
      <c r="J117">
        <v>43704.48306748474</v>
      </c>
      <c r="K117">
        <v>0.47770000000000162</v>
      </c>
      <c r="L117">
        <v>5.6180000000000003</v>
      </c>
      <c r="M117">
        <v>1.7116229260761466</v>
      </c>
      <c r="N117">
        <v>3217.2847670745755</v>
      </c>
      <c r="O117">
        <v>1</v>
      </c>
    </row>
    <row r="118" spans="1:15">
      <c r="A118">
        <v>115</v>
      </c>
      <c r="B118" t="s">
        <v>481</v>
      </c>
      <c r="C118" t="s">
        <v>126</v>
      </c>
      <c r="D118" t="s">
        <v>126</v>
      </c>
      <c r="E118">
        <v>2000</v>
      </c>
      <c r="F118">
        <v>146001.17600000001</v>
      </c>
      <c r="G118">
        <v>9263.4596287722998</v>
      </c>
      <c r="H118">
        <v>17269.686551205399</v>
      </c>
      <c r="I118">
        <v>93090.441220569453</v>
      </c>
      <c r="J118">
        <v>173546.6883019933</v>
      </c>
      <c r="K118">
        <v>0.53639998625949137</v>
      </c>
      <c r="L118" t="e">
        <v>#N/A</v>
      </c>
      <c r="M118" t="e">
        <v>#N/A</v>
      </c>
      <c r="N118" t="e">
        <v>#N/A</v>
      </c>
      <c r="O118">
        <v>0</v>
      </c>
    </row>
    <row r="119" spans="1:15">
      <c r="A119">
        <v>116</v>
      </c>
      <c r="B119" t="s">
        <v>482</v>
      </c>
      <c r="C119" t="s">
        <v>127</v>
      </c>
      <c r="D119" t="s">
        <v>127</v>
      </c>
      <c r="E119">
        <v>2000</v>
      </c>
      <c r="F119">
        <v>7404.7030000000004</v>
      </c>
      <c r="G119">
        <v>1018.0696165460701</v>
      </c>
      <c r="H119">
        <v>1873.86272141739</v>
      </c>
      <c r="I119">
        <v>566.1380973784967</v>
      </c>
      <c r="J119">
        <v>1042.0358869473505</v>
      </c>
      <c r="K119">
        <v>0.54330000000000112</v>
      </c>
      <c r="L119">
        <v>2.5640000000000001</v>
      </c>
      <c r="M119">
        <v>0.97426494000771346</v>
      </c>
      <c r="N119">
        <v>2567.9486859847621</v>
      </c>
      <c r="O119">
        <v>1</v>
      </c>
    </row>
    <row r="120" spans="1:15">
      <c r="A120">
        <v>117</v>
      </c>
      <c r="B120" t="s">
        <v>492</v>
      </c>
      <c r="C120" t="s">
        <v>679</v>
      </c>
      <c r="D120" t="s">
        <v>137</v>
      </c>
      <c r="E120">
        <v>2000</v>
      </c>
      <c r="F120">
        <v>42351.345000000001</v>
      </c>
      <c r="G120">
        <v>8226.0625211411898</v>
      </c>
      <c r="H120">
        <v>19759.938796880098</v>
      </c>
      <c r="I120">
        <v>12463.696841274173</v>
      </c>
      <c r="J120">
        <v>29939.218931717911</v>
      </c>
      <c r="K120">
        <v>0.41630000000000023</v>
      </c>
      <c r="L120">
        <v>6.1379999999999999</v>
      </c>
      <c r="M120">
        <v>1.8688476294945189</v>
      </c>
      <c r="N120">
        <v>8616.5010195728901</v>
      </c>
      <c r="O120">
        <v>1</v>
      </c>
    </row>
    <row r="121" spans="1:15">
      <c r="A121">
        <v>118</v>
      </c>
      <c r="B121" t="s">
        <v>483</v>
      </c>
      <c r="C121" t="s">
        <v>128</v>
      </c>
      <c r="D121" t="s">
        <v>128</v>
      </c>
      <c r="E121">
        <v>2000</v>
      </c>
      <c r="F121">
        <v>22023.506000000001</v>
      </c>
      <c r="G121">
        <v>15826.5164908278</v>
      </c>
      <c r="H121">
        <v>52825.488954699103</v>
      </c>
      <c r="I121">
        <v>22857.192044596148</v>
      </c>
      <c r="J121">
        <v>76292.363299720368</v>
      </c>
      <c r="K121">
        <v>0.29959999999999903</v>
      </c>
      <c r="L121">
        <v>4.8079999999999998</v>
      </c>
      <c r="M121">
        <v>1.4926484121986705</v>
      </c>
      <c r="N121">
        <v>29529.667433338269</v>
      </c>
      <c r="O121">
        <v>1</v>
      </c>
    </row>
    <row r="122" spans="1:15">
      <c r="A122">
        <v>119</v>
      </c>
      <c r="B122" t="s">
        <v>486</v>
      </c>
      <c r="C122" t="s">
        <v>672</v>
      </c>
      <c r="D122" t="s">
        <v>131</v>
      </c>
      <c r="E122">
        <v>2000</v>
      </c>
      <c r="F122">
        <v>10637</v>
      </c>
      <c r="G122">
        <v>2094.6697933292498</v>
      </c>
      <c r="H122">
        <v>4373.0058315850702</v>
      </c>
      <c r="I122">
        <v>10397.086180077595</v>
      </c>
      <c r="J122">
        <v>21705.816659869703</v>
      </c>
      <c r="K122">
        <v>0.47900000000000026</v>
      </c>
      <c r="L122" t="e">
        <v>#N/A</v>
      </c>
      <c r="M122" t="e">
        <v>#N/A</v>
      </c>
      <c r="N122" t="e">
        <v>#N/A</v>
      </c>
      <c r="O122">
        <v>0</v>
      </c>
    </row>
    <row r="123" spans="1:15">
      <c r="A123">
        <v>120</v>
      </c>
      <c r="B123" t="s">
        <v>484</v>
      </c>
      <c r="C123" t="s">
        <v>129</v>
      </c>
      <c r="D123" t="s">
        <v>129</v>
      </c>
      <c r="E123">
        <v>2000</v>
      </c>
      <c r="F123">
        <v>9784.3250000000007</v>
      </c>
      <c r="G123">
        <v>1571.3673091541</v>
      </c>
      <c r="H123">
        <v>3542.3068285710101</v>
      </c>
      <c r="I123">
        <v>1427.5827142030917</v>
      </c>
      <c r="J123">
        <v>3218.1756406742379</v>
      </c>
      <c r="K123">
        <v>0.44359999999999999</v>
      </c>
      <c r="L123">
        <v>2.5510000000000002</v>
      </c>
      <c r="M123">
        <v>0.97170987654186702</v>
      </c>
      <c r="N123">
        <v>3821.8774557605871</v>
      </c>
      <c r="O123">
        <v>1</v>
      </c>
    </row>
    <row r="124" spans="1:15">
      <c r="A124">
        <v>121</v>
      </c>
      <c r="B124" t="s">
        <v>488</v>
      </c>
      <c r="C124" t="s">
        <v>676</v>
      </c>
      <c r="D124" t="s">
        <v>133</v>
      </c>
      <c r="E124">
        <v>2000</v>
      </c>
      <c r="F124">
        <v>4151.72</v>
      </c>
      <c r="G124">
        <v>29433.771176301099</v>
      </c>
      <c r="H124">
        <v>58750.042268066099</v>
      </c>
      <c r="I124">
        <v>128148.30326119957</v>
      </c>
      <c r="J124">
        <v>255785.0364495003</v>
      </c>
      <c r="K124">
        <v>0.50099999999999967</v>
      </c>
      <c r="L124">
        <v>7.0469999999999997</v>
      </c>
      <c r="M124">
        <v>2.1791676675081746</v>
      </c>
      <c r="N124">
        <v>13063.264641561122</v>
      </c>
      <c r="O124">
        <v>1</v>
      </c>
    </row>
    <row r="125" spans="1:15">
      <c r="A125">
        <v>122</v>
      </c>
      <c r="B125" t="s">
        <v>491</v>
      </c>
      <c r="C125" t="s">
        <v>136</v>
      </c>
      <c r="D125" t="s">
        <v>136</v>
      </c>
      <c r="E125">
        <v>2000</v>
      </c>
      <c r="F125">
        <v>7253.1369999999997</v>
      </c>
      <c r="G125">
        <v>681.63298775426495</v>
      </c>
      <c r="H125">
        <v>1592.6004386781799</v>
      </c>
      <c r="I125">
        <v>1815.2330182975745</v>
      </c>
      <c r="J125">
        <v>4241.1986408821595</v>
      </c>
      <c r="K125">
        <v>0.42800000000000249</v>
      </c>
      <c r="L125">
        <v>2.2879999999999998</v>
      </c>
      <c r="M125">
        <v>0.92143411683057641</v>
      </c>
      <c r="N125">
        <v>1066.9059627810941</v>
      </c>
      <c r="O125">
        <v>1</v>
      </c>
    </row>
    <row r="126" spans="1:15">
      <c r="A126">
        <v>123</v>
      </c>
      <c r="B126" t="s">
        <v>493</v>
      </c>
      <c r="C126" t="s">
        <v>680</v>
      </c>
      <c r="D126" t="s">
        <v>138</v>
      </c>
      <c r="E126">
        <v>2000</v>
      </c>
      <c r="F126">
        <v>40717.22</v>
      </c>
      <c r="G126">
        <v>19536.380892109199</v>
      </c>
      <c r="H126">
        <v>44360.537892207001</v>
      </c>
      <c r="I126">
        <v>70814.162532595947</v>
      </c>
      <c r="J126">
        <v>160795.10108245944</v>
      </c>
      <c r="K126">
        <v>0.44040000009876423</v>
      </c>
      <c r="L126">
        <v>7.28</v>
      </c>
      <c r="M126">
        <v>2.2666886001411632</v>
      </c>
      <c r="N126">
        <v>10378.644586204295</v>
      </c>
      <c r="O126">
        <v>1</v>
      </c>
    </row>
    <row r="127" spans="1:15">
      <c r="A127">
        <v>124</v>
      </c>
      <c r="B127" t="s">
        <v>494</v>
      </c>
      <c r="C127" t="s">
        <v>681</v>
      </c>
      <c r="D127" t="s">
        <v>139</v>
      </c>
      <c r="E127">
        <v>2000</v>
      </c>
      <c r="F127">
        <v>19238.575000000001</v>
      </c>
      <c r="G127">
        <v>4046.6301788534902</v>
      </c>
      <c r="H127">
        <v>8966.6079744150102</v>
      </c>
      <c r="I127">
        <v>6952.8492321201793</v>
      </c>
      <c r="J127">
        <v>15406.269071837327</v>
      </c>
      <c r="K127">
        <v>0.45129999999999959</v>
      </c>
      <c r="L127">
        <v>6.8659999999999997</v>
      </c>
      <c r="M127">
        <v>2.1135183008235137</v>
      </c>
      <c r="N127">
        <v>3249.6887752024086</v>
      </c>
      <c r="O127">
        <v>1</v>
      </c>
    </row>
    <row r="128" spans="1:15">
      <c r="A128">
        <v>125</v>
      </c>
      <c r="B128" t="s">
        <v>487</v>
      </c>
      <c r="C128" t="s">
        <v>675</v>
      </c>
      <c r="D128" t="s">
        <v>132</v>
      </c>
      <c r="E128">
        <v>2000</v>
      </c>
      <c r="F128">
        <v>5202.6589999999997</v>
      </c>
      <c r="G128">
        <v>683.72975525513004</v>
      </c>
      <c r="H128">
        <v>1845.92266537562</v>
      </c>
      <c r="I128">
        <v>841.69285456309808</v>
      </c>
      <c r="J128">
        <v>2272.3889162070668</v>
      </c>
      <c r="K128">
        <v>0.37040000000000023</v>
      </c>
      <c r="L128">
        <v>2.4</v>
      </c>
      <c r="M128">
        <v>0.94251824665614681</v>
      </c>
      <c r="N128">
        <v>1767.9208031336238</v>
      </c>
      <c r="O128">
        <v>1</v>
      </c>
    </row>
    <row r="129" spans="1:15">
      <c r="A129">
        <v>126</v>
      </c>
      <c r="B129" t="s">
        <v>496</v>
      </c>
      <c r="C129" t="s">
        <v>689</v>
      </c>
      <c r="D129" t="s">
        <v>141</v>
      </c>
      <c r="E129">
        <v>2000</v>
      </c>
      <c r="F129">
        <v>429.32299999999998</v>
      </c>
      <c r="G129">
        <v>4753.4197804266896</v>
      </c>
      <c r="H129">
        <v>12453.2873472011</v>
      </c>
      <c r="I129">
        <v>13005.92080372569</v>
      </c>
      <c r="J129">
        <v>34073.672527444614</v>
      </c>
      <c r="K129">
        <v>0.38170000000000237</v>
      </c>
      <c r="L129">
        <v>2.0129999999999999</v>
      </c>
      <c r="M129">
        <v>0.87164417024378771</v>
      </c>
      <c r="N129">
        <v>8702.4094336806011</v>
      </c>
      <c r="O129">
        <v>1</v>
      </c>
    </row>
    <row r="130" spans="1:15">
      <c r="A130">
        <v>127</v>
      </c>
      <c r="B130" t="s">
        <v>495</v>
      </c>
      <c r="C130" t="s">
        <v>688</v>
      </c>
      <c r="D130" t="s">
        <v>140</v>
      </c>
      <c r="E130">
        <v>2000</v>
      </c>
      <c r="F130">
        <v>35079.813999999998</v>
      </c>
      <c r="G130">
        <v>1047.7133767063301</v>
      </c>
      <c r="H130">
        <v>2668.65353210986</v>
      </c>
      <c r="I130">
        <v>1973.7077404923973</v>
      </c>
      <c r="J130">
        <v>5027.2739187274556</v>
      </c>
      <c r="K130">
        <v>0.39259999999999967</v>
      </c>
      <c r="L130">
        <v>2.1349999999999998</v>
      </c>
      <c r="M130">
        <v>0.89339184335251853</v>
      </c>
      <c r="N130">
        <v>2186.6666064501728</v>
      </c>
      <c r="O130">
        <v>1</v>
      </c>
    </row>
    <row r="131" spans="1:15">
      <c r="A131">
        <v>128</v>
      </c>
      <c r="B131" t="s">
        <v>489</v>
      </c>
      <c r="C131" t="s">
        <v>134</v>
      </c>
      <c r="D131" t="s">
        <v>134</v>
      </c>
      <c r="E131">
        <v>2000</v>
      </c>
      <c r="F131">
        <v>5400.2</v>
      </c>
      <c r="G131">
        <v>9696.8663677266795</v>
      </c>
      <c r="H131">
        <v>17649.9170064631</v>
      </c>
      <c r="I131">
        <v>44448.237365878107</v>
      </c>
      <c r="J131">
        <v>80903.218714278264</v>
      </c>
      <c r="K131">
        <v>0.5494001112966056</v>
      </c>
      <c r="L131" t="e">
        <v>#N/A</v>
      </c>
      <c r="M131" t="e">
        <v>#N/A</v>
      </c>
      <c r="N131" t="e">
        <v>#N/A</v>
      </c>
      <c r="O131">
        <v>0</v>
      </c>
    </row>
    <row r="132" spans="1:15">
      <c r="A132">
        <v>129</v>
      </c>
      <c r="B132" t="s">
        <v>490</v>
      </c>
      <c r="C132" t="s">
        <v>135</v>
      </c>
      <c r="D132" t="s">
        <v>135</v>
      </c>
      <c r="E132">
        <v>2000</v>
      </c>
      <c r="F132">
        <v>1927.5930000000001</v>
      </c>
      <c r="G132">
        <v>18205.505877623698</v>
      </c>
      <c r="H132">
        <v>35474.485342212902</v>
      </c>
      <c r="I132">
        <v>57545.447484354467</v>
      </c>
      <c r="J132">
        <v>112130.64591651276</v>
      </c>
      <c r="K132">
        <v>0.5132000000000011</v>
      </c>
      <c r="L132" t="e">
        <v>#N/A</v>
      </c>
      <c r="M132" t="e">
        <v>#N/A</v>
      </c>
      <c r="N132" t="e">
        <v>#N/A</v>
      </c>
      <c r="O132">
        <v>0</v>
      </c>
    </row>
    <row r="133" spans="1:15">
      <c r="A133">
        <v>130</v>
      </c>
      <c r="B133" t="s">
        <v>497</v>
      </c>
      <c r="C133" t="s">
        <v>144</v>
      </c>
      <c r="D133" t="s">
        <v>142</v>
      </c>
      <c r="E133">
        <v>2000</v>
      </c>
      <c r="F133">
        <v>1120.183</v>
      </c>
      <c r="G133">
        <v>8517.0292083523109</v>
      </c>
      <c r="H133">
        <v>23043.910195758399</v>
      </c>
      <c r="I133">
        <v>10360.639161992731</v>
      </c>
      <c r="J133">
        <v>28032.032364698924</v>
      </c>
      <c r="K133">
        <v>0.36960000000000026</v>
      </c>
      <c r="L133">
        <v>6.01</v>
      </c>
      <c r="M133">
        <v>1.8288548391121786</v>
      </c>
      <c r="N133">
        <v>11440.968638891167</v>
      </c>
      <c r="O133">
        <v>1</v>
      </c>
    </row>
    <row r="134" spans="1:15">
      <c r="A134">
        <v>131</v>
      </c>
      <c r="B134" t="s">
        <v>498</v>
      </c>
      <c r="C134" t="s">
        <v>143</v>
      </c>
      <c r="D134" t="s">
        <v>143</v>
      </c>
      <c r="E134">
        <v>2000</v>
      </c>
      <c r="F134">
        <v>8877.4120000000003</v>
      </c>
      <c r="G134">
        <v>25231.7699463223</v>
      </c>
      <c r="H134">
        <v>46544.493536842499</v>
      </c>
      <c r="I134">
        <v>101370.10252265366</v>
      </c>
      <c r="J134">
        <v>186995.20849041454</v>
      </c>
      <c r="K134">
        <v>0.54209999999999958</v>
      </c>
      <c r="L134">
        <v>11.414</v>
      </c>
      <c r="M134">
        <v>2.5599814183292717</v>
      </c>
      <c r="N134">
        <v>9165.5301769971611</v>
      </c>
      <c r="O134">
        <v>1</v>
      </c>
    </row>
    <row r="135" spans="1:15">
      <c r="A135">
        <v>132</v>
      </c>
      <c r="B135" t="s">
        <v>499</v>
      </c>
      <c r="C135" t="s">
        <v>690</v>
      </c>
      <c r="D135" t="s">
        <v>144</v>
      </c>
      <c r="E135">
        <v>2000</v>
      </c>
      <c r="F135">
        <v>7167.4870000000001</v>
      </c>
      <c r="G135">
        <v>28831.250675152602</v>
      </c>
      <c r="H135">
        <v>54306.367819085797</v>
      </c>
      <c r="I135">
        <v>159183.43510344496</v>
      </c>
      <c r="J135">
        <v>299836.94688914152</v>
      </c>
      <c r="K135">
        <v>0.53089999999999915</v>
      </c>
      <c r="L135">
        <v>10.481</v>
      </c>
      <c r="M135">
        <v>2.5599814183292717</v>
      </c>
      <c r="N135">
        <v>9143.9600248198658</v>
      </c>
      <c r="O135">
        <v>1</v>
      </c>
    </row>
    <row r="136" spans="1:15">
      <c r="A136">
        <v>133</v>
      </c>
      <c r="B136" t="s">
        <v>500</v>
      </c>
      <c r="C136" t="s">
        <v>145</v>
      </c>
      <c r="D136" t="s">
        <v>145</v>
      </c>
      <c r="E136">
        <v>2000</v>
      </c>
      <c r="F136">
        <v>16305.659</v>
      </c>
      <c r="G136">
        <v>2000.88785120988</v>
      </c>
      <c r="H136">
        <v>6270.4100633340104</v>
      </c>
      <c r="I136">
        <v>2259.9443181441279</v>
      </c>
      <c r="J136">
        <v>7082.2448077221279</v>
      </c>
      <c r="K136">
        <v>0.31909999999999955</v>
      </c>
      <c r="L136">
        <v>5.7750000000000004</v>
      </c>
      <c r="M136">
        <v>1.7576452726887308</v>
      </c>
      <c r="N136">
        <v>3359.8648352657356</v>
      </c>
      <c r="O136">
        <v>1</v>
      </c>
    </row>
    <row r="137" spans="1:15">
      <c r="A137">
        <v>134</v>
      </c>
      <c r="B137" t="s">
        <v>501</v>
      </c>
      <c r="C137" t="s">
        <v>691</v>
      </c>
      <c r="D137" t="s">
        <v>146</v>
      </c>
      <c r="E137">
        <v>2000</v>
      </c>
      <c r="F137">
        <v>22151.237000000001</v>
      </c>
      <c r="G137">
        <v>19183.9291825734</v>
      </c>
      <c r="H137" t="e">
        <v>#N/A</v>
      </c>
      <c r="I137">
        <v>40591.113832450967</v>
      </c>
      <c r="J137" t="e">
        <v>#N/A</v>
      </c>
      <c r="K137" t="e">
        <v>#N/A</v>
      </c>
      <c r="L137">
        <v>8.7639999999999993</v>
      </c>
      <c r="M137">
        <v>2.5599814183292717</v>
      </c>
      <c r="N137" t="e">
        <v>#N/A</v>
      </c>
      <c r="O137">
        <v>0</v>
      </c>
    </row>
    <row r="138" spans="1:15">
      <c r="A138">
        <v>135</v>
      </c>
      <c r="B138" t="s">
        <v>502</v>
      </c>
      <c r="C138" t="s">
        <v>692</v>
      </c>
      <c r="D138" t="s">
        <v>147</v>
      </c>
      <c r="E138">
        <v>2000</v>
      </c>
      <c r="F138">
        <v>6440.732</v>
      </c>
      <c r="G138">
        <v>1660.4011899878999</v>
      </c>
      <c r="H138">
        <v>4212.0774173866503</v>
      </c>
      <c r="I138">
        <v>5152.0153705192261</v>
      </c>
      <c r="J138">
        <v>13069.544714281426</v>
      </c>
      <c r="K138">
        <v>0.39420006458905082</v>
      </c>
      <c r="L138" t="e">
        <v>#N/A</v>
      </c>
      <c r="M138" t="e">
        <v>#N/A</v>
      </c>
      <c r="N138" t="e">
        <v>#N/A</v>
      </c>
      <c r="O138">
        <v>0</v>
      </c>
    </row>
    <row r="139" spans="1:15">
      <c r="A139">
        <v>136</v>
      </c>
      <c r="B139" t="s">
        <v>503</v>
      </c>
      <c r="C139" t="s">
        <v>693</v>
      </c>
      <c r="D139" t="s">
        <v>148</v>
      </c>
      <c r="E139">
        <v>2000</v>
      </c>
      <c r="F139">
        <v>33767.567000000003</v>
      </c>
      <c r="G139">
        <v>816.66237729163095</v>
      </c>
      <c r="H139">
        <v>1585.44433564673</v>
      </c>
      <c r="I139">
        <v>508.71583629771226</v>
      </c>
      <c r="J139">
        <v>987.6059722339586</v>
      </c>
      <c r="K139">
        <v>0.51510000000000022</v>
      </c>
      <c r="L139">
        <v>2.7050000000000001</v>
      </c>
      <c r="M139">
        <v>1.0024129063843263</v>
      </c>
      <c r="N139">
        <v>1996.8889342439145</v>
      </c>
      <c r="O139">
        <v>1</v>
      </c>
    </row>
    <row r="140" spans="1:15">
      <c r="A140">
        <v>137</v>
      </c>
      <c r="B140" t="s">
        <v>504</v>
      </c>
      <c r="C140" t="s">
        <v>149</v>
      </c>
      <c r="D140" t="s">
        <v>149</v>
      </c>
      <c r="E140">
        <v>2000</v>
      </c>
      <c r="F140">
        <v>62352.042999999998</v>
      </c>
      <c r="G140">
        <v>6473.5954784461001</v>
      </c>
      <c r="H140">
        <v>10876.3364893247</v>
      </c>
      <c r="I140">
        <v>26703.720665293316</v>
      </c>
      <c r="J140">
        <v>44865.12208550598</v>
      </c>
      <c r="K140">
        <v>0.5952000000000035</v>
      </c>
      <c r="L140">
        <v>6.5019999999999998</v>
      </c>
      <c r="M140">
        <v>1.9874213610574147</v>
      </c>
      <c r="N140">
        <v>2723.1546471639476</v>
      </c>
      <c r="O140">
        <v>1</v>
      </c>
    </row>
    <row r="141" spans="1:15">
      <c r="A141">
        <v>138</v>
      </c>
      <c r="B141" t="s">
        <v>508</v>
      </c>
      <c r="C141" t="s">
        <v>153</v>
      </c>
      <c r="D141" t="s">
        <v>153</v>
      </c>
      <c r="E141">
        <v>2000</v>
      </c>
      <c r="F141">
        <v>4518.268</v>
      </c>
      <c r="G141">
        <v>7624.2304523949697</v>
      </c>
      <c r="H141">
        <v>17644.599843722499</v>
      </c>
      <c r="I141">
        <v>38053.929147936018</v>
      </c>
      <c r="J141">
        <v>88067.426147353675</v>
      </c>
      <c r="K141">
        <v>0.43209993538660368</v>
      </c>
      <c r="L141" t="e">
        <v>#N/A</v>
      </c>
      <c r="M141" t="e">
        <v>#N/A</v>
      </c>
      <c r="N141" t="e">
        <v>#N/A</v>
      </c>
      <c r="O141">
        <v>0</v>
      </c>
    </row>
    <row r="142" spans="1:15">
      <c r="A142">
        <v>139</v>
      </c>
      <c r="B142" t="s">
        <v>505</v>
      </c>
      <c r="C142" t="s">
        <v>694</v>
      </c>
      <c r="D142" t="s">
        <v>150</v>
      </c>
      <c r="E142">
        <v>2000</v>
      </c>
      <c r="F142">
        <v>5032.7830000000004</v>
      </c>
      <c r="G142">
        <v>823.16644637355705</v>
      </c>
      <c r="H142">
        <v>1947.4011033204499</v>
      </c>
      <c r="I142">
        <v>1602.5324232625078</v>
      </c>
      <c r="J142">
        <v>3791.181507599958</v>
      </c>
      <c r="K142">
        <v>0.42270000000000146</v>
      </c>
      <c r="L142">
        <v>3.3340000000000001</v>
      </c>
      <c r="M142">
        <v>1.1382226877540005</v>
      </c>
      <c r="N142">
        <v>1232.3318956614082</v>
      </c>
      <c r="O142">
        <v>1</v>
      </c>
    </row>
    <row r="143" spans="1:15">
      <c r="A143">
        <v>140</v>
      </c>
      <c r="B143" t="s">
        <v>506</v>
      </c>
      <c r="C143" t="s">
        <v>151</v>
      </c>
      <c r="D143" t="s">
        <v>151</v>
      </c>
      <c r="E143">
        <v>2000</v>
      </c>
      <c r="F143">
        <v>9593.402</v>
      </c>
      <c r="G143">
        <v>6993.3117704400102</v>
      </c>
      <c r="H143">
        <v>17288.7806438566</v>
      </c>
      <c r="I143">
        <v>15492.004760843076</v>
      </c>
      <c r="J143">
        <v>38299.146503938297</v>
      </c>
      <c r="K143">
        <v>0.40450000000000086</v>
      </c>
      <c r="L143">
        <v>5.0149999999999997</v>
      </c>
      <c r="M143">
        <v>1.5457898353308386</v>
      </c>
      <c r="N143">
        <v>7559.2611219762057</v>
      </c>
      <c r="O143">
        <v>1</v>
      </c>
    </row>
    <row r="144" spans="1:15">
      <c r="A144">
        <v>141</v>
      </c>
      <c r="B144" t="s">
        <v>507</v>
      </c>
      <c r="C144" t="s">
        <v>152</v>
      </c>
      <c r="D144" t="s">
        <v>152</v>
      </c>
      <c r="E144">
        <v>2000</v>
      </c>
      <c r="F144">
        <v>68234.39</v>
      </c>
      <c r="G144">
        <v>5714.5910116903096</v>
      </c>
      <c r="H144">
        <v>12205.4485512394</v>
      </c>
      <c r="I144">
        <v>12344.010400036677</v>
      </c>
      <c r="J144">
        <v>26364.823579745043</v>
      </c>
      <c r="K144">
        <v>0.46820000000000184</v>
      </c>
      <c r="L144">
        <v>5.2889999999999997</v>
      </c>
      <c r="M144">
        <v>1.6190523355138646</v>
      </c>
      <c r="N144">
        <v>5158.8553112564432</v>
      </c>
      <c r="O144">
        <v>1</v>
      </c>
    </row>
    <row r="145" spans="1:15">
      <c r="A145">
        <v>142</v>
      </c>
      <c r="B145" t="s">
        <v>509</v>
      </c>
      <c r="C145" t="s">
        <v>699</v>
      </c>
      <c r="D145" t="s">
        <v>154</v>
      </c>
      <c r="E145">
        <v>2000</v>
      </c>
      <c r="F145">
        <v>2369.1529999999998</v>
      </c>
      <c r="G145">
        <v>32181.677742470201</v>
      </c>
      <c r="H145">
        <v>61591.727736785098</v>
      </c>
      <c r="I145">
        <v>79501.855463454543</v>
      </c>
      <c r="J145">
        <v>152156.66117407574</v>
      </c>
      <c r="K145">
        <v>0.52249999999999996</v>
      </c>
      <c r="L145" t="e">
        <v>#N/A</v>
      </c>
      <c r="M145" t="e">
        <v>#N/A</v>
      </c>
      <c r="N145" t="e">
        <v>#N/A</v>
      </c>
      <c r="O145">
        <v>0</v>
      </c>
    </row>
    <row r="146" spans="1:15">
      <c r="A146">
        <v>143</v>
      </c>
      <c r="B146" t="s">
        <v>510</v>
      </c>
      <c r="C146" t="s">
        <v>155</v>
      </c>
      <c r="D146" t="s">
        <v>155</v>
      </c>
      <c r="E146">
        <v>2000</v>
      </c>
      <c r="F146">
        <v>23495.922999999999</v>
      </c>
      <c r="G146">
        <v>1057.79248962509</v>
      </c>
      <c r="H146">
        <v>2162.7325488143301</v>
      </c>
      <c r="I146">
        <v>413.6635378215642</v>
      </c>
      <c r="J146">
        <v>845.76474713057405</v>
      </c>
      <c r="K146">
        <v>0.48910000000000048</v>
      </c>
      <c r="L146">
        <v>3.5139999999999998</v>
      </c>
      <c r="M146">
        <v>1.1803700606118157</v>
      </c>
      <c r="N146">
        <v>2909.4996886330982</v>
      </c>
      <c r="O146">
        <v>1</v>
      </c>
    </row>
    <row r="147" spans="1:15">
      <c r="A147">
        <v>144</v>
      </c>
      <c r="B147" t="s">
        <v>511</v>
      </c>
      <c r="C147" t="s">
        <v>156</v>
      </c>
      <c r="D147" t="s">
        <v>156</v>
      </c>
      <c r="E147">
        <v>2000</v>
      </c>
      <c r="F147">
        <v>49153.027000000002</v>
      </c>
      <c r="G147">
        <v>5002.8697373639898</v>
      </c>
      <c r="H147">
        <v>9811.47228386592</v>
      </c>
      <c r="I147">
        <v>57321.975740586095</v>
      </c>
      <c r="J147">
        <v>112418.07317804168</v>
      </c>
      <c r="K147">
        <v>0.50990000202016139</v>
      </c>
      <c r="L147" t="e">
        <v>#N/A</v>
      </c>
      <c r="M147" t="e">
        <v>#N/A</v>
      </c>
      <c r="N147" t="e">
        <v>#N/A</v>
      </c>
      <c r="O147">
        <v>0</v>
      </c>
    </row>
    <row r="148" spans="1:15">
      <c r="A148">
        <v>145</v>
      </c>
      <c r="B148" t="s">
        <v>512</v>
      </c>
      <c r="C148" t="s">
        <v>198</v>
      </c>
      <c r="D148" t="s">
        <v>157</v>
      </c>
      <c r="E148">
        <v>2000</v>
      </c>
      <c r="F148">
        <v>58669.74</v>
      </c>
      <c r="G148">
        <v>24666.411300076699</v>
      </c>
      <c r="H148">
        <v>49224.5286371517</v>
      </c>
      <c r="I148">
        <v>75765.966866795978</v>
      </c>
      <c r="J148">
        <v>151199.29528396734</v>
      </c>
      <c r="K148">
        <v>0.50109999999999966</v>
      </c>
      <c r="L148">
        <v>9.42</v>
      </c>
      <c r="M148">
        <v>2.5599814183292717</v>
      </c>
      <c r="N148">
        <v>11063.632179550028</v>
      </c>
      <c r="O148">
        <v>1</v>
      </c>
    </row>
    <row r="149" spans="1:15">
      <c r="A149">
        <v>146</v>
      </c>
      <c r="B149" t="s">
        <v>514</v>
      </c>
      <c r="C149" t="s">
        <v>700</v>
      </c>
      <c r="D149" t="s">
        <v>159</v>
      </c>
      <c r="E149">
        <v>2000</v>
      </c>
      <c r="F149">
        <v>3334.0740000000001</v>
      </c>
      <c r="G149">
        <v>10739.7369259639</v>
      </c>
      <c r="H149">
        <v>23855.4796223099</v>
      </c>
      <c r="I149">
        <v>28293.162677795131</v>
      </c>
      <c r="J149">
        <v>62845.763389149666</v>
      </c>
      <c r="K149">
        <v>0.45019999999999927</v>
      </c>
      <c r="L149">
        <v>7.5579999999999998</v>
      </c>
      <c r="M149">
        <v>2.3757234461310084</v>
      </c>
      <c r="N149">
        <v>6231.4311902327809</v>
      </c>
      <c r="O149">
        <v>1</v>
      </c>
    </row>
    <row r="150" spans="1:15">
      <c r="A150">
        <v>147</v>
      </c>
      <c r="B150" t="s">
        <v>513</v>
      </c>
      <c r="C150" t="s">
        <v>158</v>
      </c>
      <c r="D150" t="s">
        <v>158</v>
      </c>
      <c r="E150">
        <v>2000</v>
      </c>
      <c r="F150">
        <v>284153.7</v>
      </c>
      <c r="G150">
        <v>34364.500620614803</v>
      </c>
      <c r="H150">
        <v>67078.861254372096</v>
      </c>
      <c r="I150">
        <v>108097.15412799067</v>
      </c>
      <c r="J150">
        <v>211003.61922309335</v>
      </c>
      <c r="K150">
        <v>0.51229999999999964</v>
      </c>
      <c r="L150">
        <v>12.048999999999999</v>
      </c>
      <c r="M150">
        <v>2.5599814183292717</v>
      </c>
      <c r="N150">
        <v>14900.847407221911</v>
      </c>
      <c r="O150">
        <v>1</v>
      </c>
    </row>
    <row r="151" spans="1:15">
      <c r="A151">
        <v>148</v>
      </c>
      <c r="B151" t="s">
        <v>515</v>
      </c>
      <c r="C151" t="s">
        <v>160</v>
      </c>
      <c r="D151" t="s">
        <v>160</v>
      </c>
      <c r="E151">
        <v>2000</v>
      </c>
      <c r="F151">
        <v>24755.519</v>
      </c>
      <c r="G151">
        <v>3543.2409298798302</v>
      </c>
      <c r="H151">
        <v>8196.2509075972703</v>
      </c>
      <c r="I151">
        <v>6278.4726328517409</v>
      </c>
      <c r="J151">
        <v>14523.408945008145</v>
      </c>
      <c r="K151">
        <v>0.43230020283975551</v>
      </c>
      <c r="L151" t="e">
        <v>#N/A</v>
      </c>
      <c r="M151" t="e">
        <v>#N/A</v>
      </c>
      <c r="N151" t="e">
        <v>#N/A</v>
      </c>
      <c r="O151">
        <v>0</v>
      </c>
    </row>
    <row r="152" spans="1:15">
      <c r="A152">
        <v>149</v>
      </c>
      <c r="B152" t="s">
        <v>516</v>
      </c>
      <c r="C152" t="s">
        <v>703</v>
      </c>
      <c r="D152" t="s">
        <v>161</v>
      </c>
      <c r="E152">
        <v>2000</v>
      </c>
      <c r="F152">
        <v>23542.649000000001</v>
      </c>
      <c r="G152">
        <v>7322.9696658572302</v>
      </c>
      <c r="H152">
        <v>17913.3308851693</v>
      </c>
      <c r="I152">
        <v>23163.795378573504</v>
      </c>
      <c r="J152">
        <v>56662.904546412523</v>
      </c>
      <c r="K152">
        <v>0.40880000000000116</v>
      </c>
      <c r="L152">
        <v>6.64</v>
      </c>
      <c r="M152">
        <v>2.0343167232846109</v>
      </c>
      <c r="N152">
        <v>4993.772963659274</v>
      </c>
      <c r="O152">
        <v>1</v>
      </c>
    </row>
    <row r="153" spans="1:15">
      <c r="A153">
        <v>150</v>
      </c>
      <c r="B153" t="s">
        <v>517</v>
      </c>
      <c r="C153" t="s">
        <v>704</v>
      </c>
      <c r="D153" t="s">
        <v>162</v>
      </c>
      <c r="E153">
        <v>2000</v>
      </c>
      <c r="F153">
        <v>78517.581999999995</v>
      </c>
      <c r="G153">
        <v>2189.4078901337498</v>
      </c>
      <c r="H153">
        <v>4184.6481080538097</v>
      </c>
      <c r="I153">
        <v>2549.6352794335062</v>
      </c>
      <c r="J153">
        <v>4873.1561151252099</v>
      </c>
      <c r="K153">
        <v>0.52319999999999922</v>
      </c>
      <c r="L153" t="e">
        <v>#N/A</v>
      </c>
      <c r="M153" t="e">
        <v>#N/A</v>
      </c>
      <c r="N153" t="e">
        <v>#N/A</v>
      </c>
      <c r="O153">
        <v>0</v>
      </c>
    </row>
    <row r="154" spans="1:15">
      <c r="A154">
        <v>151</v>
      </c>
      <c r="B154" t="s">
        <v>520</v>
      </c>
      <c r="C154" t="s">
        <v>165</v>
      </c>
      <c r="D154" t="s">
        <v>165</v>
      </c>
      <c r="E154">
        <v>2000</v>
      </c>
      <c r="F154">
        <v>17479.205999999998</v>
      </c>
      <c r="G154">
        <v>1081.9078949990001</v>
      </c>
      <c r="H154">
        <v>3600.3590515773799</v>
      </c>
      <c r="I154">
        <v>755.77549148245407</v>
      </c>
      <c r="J154">
        <v>2515.0598718218166</v>
      </c>
      <c r="K154">
        <v>0.30049999999999927</v>
      </c>
      <c r="L154">
        <v>1.4850000000000001</v>
      </c>
      <c r="M154">
        <v>0.78346412998640058</v>
      </c>
      <c r="N154">
        <v>5483.5621624416044</v>
      </c>
      <c r="O154">
        <v>1</v>
      </c>
    </row>
    <row r="155" spans="1:15">
      <c r="A155">
        <v>152</v>
      </c>
      <c r="B155" t="s">
        <v>587</v>
      </c>
      <c r="C155" t="s">
        <v>588</v>
      </c>
      <c r="D155" t="s">
        <v>167</v>
      </c>
      <c r="E155">
        <v>2000</v>
      </c>
      <c r="F155">
        <v>51809.83</v>
      </c>
      <c r="G155">
        <v>359.14717804515499</v>
      </c>
      <c r="H155">
        <v>884.59896070235402</v>
      </c>
      <c r="I155">
        <v>1220.7385199022065</v>
      </c>
      <c r="J155">
        <v>3006.7451229118446</v>
      </c>
      <c r="K155">
        <v>0.40599999999999914</v>
      </c>
      <c r="L155">
        <v>3.03</v>
      </c>
      <c r="M155">
        <v>1.070429532323979</v>
      </c>
      <c r="N155">
        <v>452.35411676267211</v>
      </c>
      <c r="O155">
        <v>1</v>
      </c>
    </row>
    <row r="156" spans="1:15">
      <c r="A156">
        <v>153</v>
      </c>
      <c r="B156" t="s">
        <v>523</v>
      </c>
      <c r="C156" t="s">
        <v>705</v>
      </c>
      <c r="D156" t="s">
        <v>168</v>
      </c>
      <c r="E156">
        <v>2000</v>
      </c>
      <c r="F156">
        <v>9798.5290000000005</v>
      </c>
      <c r="G156">
        <v>865.64939745458798</v>
      </c>
      <c r="H156">
        <v>2051.3018897028101</v>
      </c>
      <c r="I156">
        <v>5050.7598443988727</v>
      </c>
      <c r="J156">
        <v>11968.625223693982</v>
      </c>
      <c r="K156">
        <v>0.42200000000000104</v>
      </c>
      <c r="L156">
        <v>5.4569999999999999</v>
      </c>
      <c r="M156">
        <v>1.6656792530013165</v>
      </c>
      <c r="N156">
        <v>516.59165614622373</v>
      </c>
      <c r="O156">
        <v>1</v>
      </c>
    </row>
    <row r="157" spans="1:15">
      <c r="A157">
        <v>154</v>
      </c>
      <c r="B157" t="s">
        <v>524</v>
      </c>
      <c r="C157" t="s">
        <v>706</v>
      </c>
      <c r="D157" t="s">
        <v>169</v>
      </c>
      <c r="E157">
        <v>2000</v>
      </c>
      <c r="F157">
        <v>12185.932000000001</v>
      </c>
      <c r="G157">
        <v>3255.9299035211502</v>
      </c>
      <c r="H157">
        <v>7301.9284671925398</v>
      </c>
      <c r="I157">
        <v>7421.8858781430963</v>
      </c>
      <c r="J157">
        <v>16644.731729408173</v>
      </c>
      <c r="K157">
        <v>0.44589999999999957</v>
      </c>
      <c r="L157">
        <v>5.3540000000000001</v>
      </c>
      <c r="M157">
        <v>1.6369356698012556</v>
      </c>
      <c r="N157">
        <v>2972.7390691996852</v>
      </c>
      <c r="O157">
        <v>1</v>
      </c>
    </row>
    <row r="158" spans="1:15">
      <c r="A158">
        <v>155</v>
      </c>
      <c r="B158" t="s">
        <v>556</v>
      </c>
      <c r="C158" t="s">
        <v>557</v>
      </c>
      <c r="D158" t="e">
        <f>NA()</f>
        <v>#N/A</v>
      </c>
      <c r="E158">
        <v>2000</v>
      </c>
      <c r="F158">
        <v>66.463999999999999</v>
      </c>
      <c r="G158">
        <v>14064.739760943399</v>
      </c>
      <c r="H158" t="e">
        <v>#N/A</v>
      </c>
      <c r="I158">
        <v>30519.11475319806</v>
      </c>
      <c r="J158" t="e">
        <v>#N/A</v>
      </c>
      <c r="K158" t="e">
        <v>#N/A</v>
      </c>
      <c r="L158" t="e">
        <v>#N/A</v>
      </c>
      <c r="M158" t="e">
        <v>#N/A</v>
      </c>
      <c r="N158" t="e">
        <v>#N/A</v>
      </c>
      <c r="O158">
        <v>0</v>
      </c>
    </row>
    <row r="159" spans="1:15">
      <c r="A159">
        <v>156</v>
      </c>
      <c r="B159" t="s">
        <v>559</v>
      </c>
      <c r="C159" t="s">
        <v>560</v>
      </c>
      <c r="D159" t="e">
        <f>NA()</f>
        <v>#N/A</v>
      </c>
      <c r="E159">
        <v>2000</v>
      </c>
      <c r="F159">
        <v>290.07499999999999</v>
      </c>
      <c r="G159">
        <v>19088.042137747801</v>
      </c>
      <c r="H159">
        <v>37107.391403086702</v>
      </c>
      <c r="I159">
        <v>65898.702983304742</v>
      </c>
      <c r="J159">
        <v>128107.89849009474</v>
      </c>
      <c r="K159">
        <v>0.51440000000000008</v>
      </c>
      <c r="L159" t="e">
        <v>#N/A</v>
      </c>
      <c r="M159" t="e">
        <v>#N/A</v>
      </c>
      <c r="N159" t="e">
        <v>#N/A</v>
      </c>
      <c r="O159">
        <v>0</v>
      </c>
    </row>
    <row r="160" spans="1:15">
      <c r="A160">
        <v>157</v>
      </c>
      <c r="B160" t="s">
        <v>561</v>
      </c>
      <c r="C160" t="s">
        <v>562</v>
      </c>
      <c r="D160" t="e">
        <f>NA()</f>
        <v>#N/A</v>
      </c>
      <c r="E160">
        <v>2000</v>
      </c>
      <c r="F160">
        <v>634.13699999999994</v>
      </c>
      <c r="G160">
        <v>18652.150534158602</v>
      </c>
      <c r="H160">
        <v>39846.508297711298</v>
      </c>
      <c r="I160">
        <v>25444.823916861969</v>
      </c>
      <c r="J160">
        <v>54357.666987528406</v>
      </c>
      <c r="K160">
        <v>0.46809999999999857</v>
      </c>
      <c r="L160">
        <v>6.1120000000000001</v>
      </c>
      <c r="M160">
        <v>1.8606539277563792</v>
      </c>
      <c r="N160">
        <v>18377.900428207155</v>
      </c>
      <c r="O160">
        <v>1</v>
      </c>
    </row>
    <row r="161" spans="1:15">
      <c r="A161">
        <v>158</v>
      </c>
      <c r="B161" t="s">
        <v>564</v>
      </c>
      <c r="C161" t="s">
        <v>565</v>
      </c>
      <c r="D161" t="e">
        <f>NA()</f>
        <v>#N/A</v>
      </c>
      <c r="E161">
        <v>2000</v>
      </c>
      <c r="F161">
        <v>273.89400000000001</v>
      </c>
      <c r="G161">
        <v>16085.9997290215</v>
      </c>
      <c r="H161">
        <v>29178.305331074698</v>
      </c>
      <c r="I161">
        <v>15531.674842407176</v>
      </c>
      <c r="J161">
        <v>28172.818506089527</v>
      </c>
      <c r="K161">
        <v>0.55130000000000068</v>
      </c>
      <c r="L161">
        <v>8.7319999999999993</v>
      </c>
      <c r="M161">
        <v>2.5599814183292717</v>
      </c>
      <c r="N161">
        <v>11596.434522346066</v>
      </c>
      <c r="O161">
        <v>1</v>
      </c>
    </row>
    <row r="162" spans="1:15">
      <c r="A162">
        <v>159</v>
      </c>
      <c r="B162" t="s">
        <v>567</v>
      </c>
      <c r="C162" t="s">
        <v>568</v>
      </c>
      <c r="D162" t="e">
        <f>NA()</f>
        <v>#N/A</v>
      </c>
      <c r="E162">
        <v>2000</v>
      </c>
      <c r="F162">
        <v>62.970999999999997</v>
      </c>
      <c r="G162">
        <v>34031.566887530003</v>
      </c>
      <c r="H162" t="e">
        <v>#N/A</v>
      </c>
      <c r="I162">
        <v>85614.083689455307</v>
      </c>
      <c r="J162" t="e">
        <v>#N/A</v>
      </c>
      <c r="K162" t="e">
        <v>#N/A</v>
      </c>
      <c r="L162" t="e">
        <v>#N/A</v>
      </c>
      <c r="M162" t="e">
        <v>#N/A</v>
      </c>
      <c r="N162" t="e">
        <v>#N/A</v>
      </c>
      <c r="O162">
        <v>0</v>
      </c>
    </row>
    <row r="163" spans="1:15">
      <c r="A163">
        <v>160</v>
      </c>
      <c r="B163" t="s">
        <v>569</v>
      </c>
      <c r="C163" t="s">
        <v>570</v>
      </c>
      <c r="D163" t="e">
        <f>NA()</f>
        <v>#N/A</v>
      </c>
      <c r="E163">
        <v>2000</v>
      </c>
      <c r="F163">
        <v>2005.222</v>
      </c>
      <c r="G163">
        <v>828.16312603300503</v>
      </c>
      <c r="H163">
        <v>1717.8243643082401</v>
      </c>
      <c r="I163">
        <v>1891.6776456145005</v>
      </c>
      <c r="J163">
        <v>3923.8283460163757</v>
      </c>
      <c r="K163">
        <v>0.48210000000000142</v>
      </c>
      <c r="L163" t="e">
        <v>#N/A</v>
      </c>
      <c r="M163" t="e">
        <v>#N/A</v>
      </c>
      <c r="N163" t="e">
        <v>#N/A</v>
      </c>
      <c r="O163">
        <v>0</v>
      </c>
    </row>
    <row r="164" spans="1:15">
      <c r="A164">
        <v>161</v>
      </c>
      <c r="B164" t="s">
        <v>574</v>
      </c>
      <c r="C164" t="s">
        <v>575</v>
      </c>
      <c r="D164" t="e">
        <f>NA()</f>
        <v>#N/A</v>
      </c>
      <c r="E164">
        <v>2000</v>
      </c>
      <c r="F164">
        <v>336.37599999999998</v>
      </c>
      <c r="G164">
        <v>25111.9236722352</v>
      </c>
      <c r="H164">
        <v>55618.878565305</v>
      </c>
      <c r="I164">
        <v>19063.960309488717</v>
      </c>
      <c r="J164">
        <v>42223.61087372918</v>
      </c>
      <c r="K164">
        <v>0.45149999999999985</v>
      </c>
      <c r="L164" t="e">
        <v>#N/A</v>
      </c>
      <c r="M164" t="e">
        <v>#N/A</v>
      </c>
      <c r="N164" t="e">
        <v>#N/A</v>
      </c>
      <c r="O164">
        <v>0</v>
      </c>
    </row>
    <row r="165" spans="1:15">
      <c r="A165">
        <v>162</v>
      </c>
      <c r="B165" t="s">
        <v>581</v>
      </c>
      <c r="C165" t="s">
        <v>582</v>
      </c>
      <c r="D165" t="e">
        <f>NA()</f>
        <v>#N/A</v>
      </c>
      <c r="E165">
        <v>2000</v>
      </c>
      <c r="F165">
        <v>401.34300000000002</v>
      </c>
      <c r="G165">
        <v>4983.3555427244701</v>
      </c>
      <c r="H165">
        <v>12250.1365357042</v>
      </c>
      <c r="I165">
        <v>8902.1303662633491</v>
      </c>
      <c r="J165">
        <v>21883.30965158148</v>
      </c>
      <c r="K165">
        <v>0.40680000000000016</v>
      </c>
      <c r="L165">
        <v>3.3290000000000002</v>
      </c>
      <c r="M165">
        <v>1.1370736631944482</v>
      </c>
      <c r="N165">
        <v>8095.5559578012571</v>
      </c>
      <c r="O165">
        <v>1</v>
      </c>
    </row>
    <row r="166" spans="1:15">
      <c r="A166">
        <v>163</v>
      </c>
      <c r="B166" t="s">
        <v>585</v>
      </c>
      <c r="C166" t="s">
        <v>586</v>
      </c>
      <c r="D166" t="e">
        <f>NA()</f>
        <v>#N/A</v>
      </c>
      <c r="E166">
        <v>2000</v>
      </c>
      <c r="F166">
        <v>578.4</v>
      </c>
      <c r="G166">
        <v>1358.7802308114699</v>
      </c>
      <c r="H166">
        <v>2898.4219940517801</v>
      </c>
      <c r="I166">
        <v>3145.9295847574426</v>
      </c>
      <c r="J166">
        <v>6710.6006500798921</v>
      </c>
      <c r="K166">
        <v>0.46879999999999838</v>
      </c>
      <c r="L166">
        <v>3.024</v>
      </c>
      <c r="M166">
        <v>1.0691329576137931</v>
      </c>
      <c r="N166">
        <v>1792.8786844914869</v>
      </c>
      <c r="O166">
        <v>1</v>
      </c>
    </row>
    <row r="167" spans="1:15">
      <c r="A167">
        <v>164</v>
      </c>
      <c r="B167" t="s">
        <v>595</v>
      </c>
      <c r="C167" t="s">
        <v>596</v>
      </c>
      <c r="D167" t="e">
        <f>NA()</f>
        <v>#N/A</v>
      </c>
      <c r="E167">
        <v>2000</v>
      </c>
      <c r="F167">
        <v>758.36300000000006</v>
      </c>
      <c r="G167">
        <v>20456.780207185901</v>
      </c>
      <c r="H167">
        <v>41629.5893512127</v>
      </c>
      <c r="I167">
        <v>46962.609275865194</v>
      </c>
      <c r="J167">
        <v>95569.005445391202</v>
      </c>
      <c r="K167">
        <v>0.4913999999999995</v>
      </c>
      <c r="L167">
        <v>9.1519999999999992</v>
      </c>
      <c r="M167">
        <v>2.5599814183292717</v>
      </c>
      <c r="N167">
        <v>10799.440080283288</v>
      </c>
      <c r="O167">
        <v>1</v>
      </c>
    </row>
    <row r="168" spans="1:15">
      <c r="A168">
        <v>165</v>
      </c>
      <c r="B168" t="s">
        <v>598</v>
      </c>
      <c r="C168" t="s">
        <v>599</v>
      </c>
      <c r="D168" t="e">
        <f>NA()</f>
        <v>#N/A</v>
      </c>
      <c r="E168">
        <v>2000</v>
      </c>
      <c r="F168">
        <v>430.822</v>
      </c>
      <c r="G168">
        <v>4375.8415012056503</v>
      </c>
      <c r="H168" t="e">
        <v>#N/A</v>
      </c>
      <c r="I168">
        <v>4295.7256171089912</v>
      </c>
      <c r="J168" t="e">
        <v>#N/A</v>
      </c>
      <c r="K168" t="e">
        <v>#N/A</v>
      </c>
      <c r="L168" t="e">
        <v>#N/A</v>
      </c>
      <c r="M168" t="e">
        <v>#N/A</v>
      </c>
      <c r="N168" t="e">
        <v>#N/A</v>
      </c>
      <c r="O168">
        <v>0</v>
      </c>
    </row>
    <row r="169" spans="1:15">
      <c r="A169">
        <v>166</v>
      </c>
      <c r="B169" t="s">
        <v>600</v>
      </c>
      <c r="C169" t="s">
        <v>601</v>
      </c>
      <c r="D169" t="e">
        <f>NA()</f>
        <v>#N/A</v>
      </c>
      <c r="E169">
        <v>2000</v>
      </c>
      <c r="F169">
        <v>71.540000000000006</v>
      </c>
      <c r="G169">
        <v>8196.8484422957099</v>
      </c>
      <c r="H169">
        <v>19710.174386611299</v>
      </c>
      <c r="I169">
        <v>17771.889944425646</v>
      </c>
      <c r="J169">
        <v>42734.357289908316</v>
      </c>
      <c r="K169">
        <v>0.4158688949938289</v>
      </c>
      <c r="L169" t="e">
        <v>#N/A</v>
      </c>
      <c r="M169" t="e">
        <v>#N/A</v>
      </c>
      <c r="N169" t="e">
        <v>#N/A</v>
      </c>
      <c r="O169">
        <v>0</v>
      </c>
    </row>
    <row r="170" spans="1:15">
      <c r="A170">
        <v>167</v>
      </c>
      <c r="B170" t="s">
        <v>605</v>
      </c>
      <c r="C170" t="s">
        <v>606</v>
      </c>
      <c r="D170" t="e">
        <f>NA()</f>
        <v>#N/A</v>
      </c>
      <c r="E170">
        <v>2000</v>
      </c>
      <c r="F170">
        <v>832.49400000000003</v>
      </c>
      <c r="G170">
        <v>4571.9479169202996</v>
      </c>
      <c r="H170">
        <v>11481.5367074844</v>
      </c>
      <c r="I170">
        <v>11571.105270254504</v>
      </c>
      <c r="J170">
        <v>29058.526545089087</v>
      </c>
      <c r="K170">
        <v>0.398200000000001</v>
      </c>
      <c r="L170">
        <v>8.3019999999999996</v>
      </c>
      <c r="M170">
        <v>2.5599814183292717</v>
      </c>
      <c r="N170">
        <v>2838.8073743284676</v>
      </c>
      <c r="O170">
        <v>1</v>
      </c>
    </row>
    <row r="171" spans="1:15">
      <c r="A171">
        <v>168</v>
      </c>
      <c r="B171" t="s">
        <v>610</v>
      </c>
      <c r="C171" t="s">
        <v>611</v>
      </c>
      <c r="D171" t="e">
        <f>NA()</f>
        <v>#N/A</v>
      </c>
      <c r="E171">
        <v>2000</v>
      </c>
      <c r="F171">
        <v>89.311999999999998</v>
      </c>
      <c r="G171">
        <v>5896.2402242054904</v>
      </c>
      <c r="H171">
        <v>13090.0216733419</v>
      </c>
      <c r="I171">
        <v>18540.316782295627</v>
      </c>
      <c r="J171">
        <v>41160.661588135488</v>
      </c>
      <c r="K171">
        <v>0.45043777400409546</v>
      </c>
      <c r="L171" t="e">
        <v>#N/A</v>
      </c>
      <c r="M171" t="e">
        <v>#N/A</v>
      </c>
      <c r="N171" t="e">
        <v>#N/A</v>
      </c>
      <c r="O171">
        <v>0</v>
      </c>
    </row>
    <row r="172" spans="1:15">
      <c r="A172">
        <v>169</v>
      </c>
      <c r="B172" t="s">
        <v>620</v>
      </c>
      <c r="C172" t="s">
        <v>621</v>
      </c>
      <c r="D172" t="e">
        <f>NA()</f>
        <v>#N/A</v>
      </c>
      <c r="E172">
        <v>2000</v>
      </c>
      <c r="F172">
        <v>2652.6889999999999</v>
      </c>
      <c r="G172">
        <v>4520.8382364298304</v>
      </c>
      <c r="H172">
        <v>9072.5230512338603</v>
      </c>
      <c r="I172">
        <v>16203.796175795967</v>
      </c>
      <c r="J172">
        <v>32518.154075448478</v>
      </c>
      <c r="K172">
        <v>0.49829999999999974</v>
      </c>
      <c r="L172">
        <v>5.2610000000000001</v>
      </c>
      <c r="M172">
        <v>1.6114090780715229</v>
      </c>
      <c r="N172">
        <v>3002.3455094208207</v>
      </c>
      <c r="O172">
        <v>1</v>
      </c>
    </row>
    <row r="173" spans="1:15">
      <c r="A173">
        <v>170</v>
      </c>
      <c r="B173" t="s">
        <v>623</v>
      </c>
      <c r="C173" t="s">
        <v>624</v>
      </c>
      <c r="D173" t="e">
        <f>NA()</f>
        <v>#N/A</v>
      </c>
      <c r="E173">
        <v>2000</v>
      </c>
      <c r="F173">
        <v>91.984999999999999</v>
      </c>
      <c r="G173">
        <v>1432.1613703783501</v>
      </c>
      <c r="H173" t="e">
        <v>#N/A</v>
      </c>
      <c r="I173">
        <v>760.35776238375581</v>
      </c>
      <c r="J173" t="e">
        <v>#N/A</v>
      </c>
      <c r="K173" t="e">
        <v>#N/A</v>
      </c>
      <c r="L173" t="e">
        <v>#N/A</v>
      </c>
      <c r="M173" t="e">
        <v>#N/A</v>
      </c>
      <c r="N173" t="e">
        <v>#N/A</v>
      </c>
      <c r="O173">
        <v>0</v>
      </c>
    </row>
    <row r="174" spans="1:15">
      <c r="A174">
        <v>171</v>
      </c>
      <c r="B174" t="s">
        <v>635</v>
      </c>
      <c r="C174" t="s">
        <v>94</v>
      </c>
      <c r="D174" t="e">
        <f>NA()</f>
        <v>#N/A</v>
      </c>
      <c r="E174">
        <v>2000</v>
      </c>
      <c r="F174">
        <v>431.33800000000002</v>
      </c>
      <c r="G174">
        <v>24224.405346866199</v>
      </c>
      <c r="H174">
        <v>46495.979552526398</v>
      </c>
      <c r="I174">
        <v>48629.268208766196</v>
      </c>
      <c r="J174">
        <v>93338.326696288495</v>
      </c>
      <c r="K174">
        <v>0.5209999999999988</v>
      </c>
      <c r="L174" t="e">
        <v>#N/A</v>
      </c>
      <c r="M174" t="e">
        <v>#N/A</v>
      </c>
      <c r="N174" t="e">
        <v>#N/A</v>
      </c>
      <c r="O174">
        <v>0</v>
      </c>
    </row>
    <row r="175" spans="1:15">
      <c r="A175">
        <v>172</v>
      </c>
      <c r="B175" t="s">
        <v>640</v>
      </c>
      <c r="C175" t="s">
        <v>641</v>
      </c>
      <c r="D175" t="e">
        <f>NA()</f>
        <v>#N/A</v>
      </c>
      <c r="E175">
        <v>2000</v>
      </c>
      <c r="F175">
        <v>301.47500000000002</v>
      </c>
      <c r="G175">
        <v>4530.1445543004702</v>
      </c>
      <c r="H175">
        <v>10742.5766049335</v>
      </c>
      <c r="I175">
        <v>5782.2717931643856</v>
      </c>
      <c r="J175">
        <v>13711.813595362506</v>
      </c>
      <c r="K175">
        <v>0.42170000000000124</v>
      </c>
      <c r="L175" t="e">
        <v>#N/A</v>
      </c>
      <c r="M175" t="e">
        <v>#N/A</v>
      </c>
      <c r="N175" t="e">
        <v>#N/A</v>
      </c>
      <c r="O175">
        <v>0</v>
      </c>
    </row>
    <row r="176" spans="1:15">
      <c r="A176">
        <v>173</v>
      </c>
      <c r="B176" t="s">
        <v>643</v>
      </c>
      <c r="C176" t="s">
        <v>644</v>
      </c>
      <c r="D176" t="e">
        <f>NA()</f>
        <v>#N/A</v>
      </c>
      <c r="E176">
        <v>2000</v>
      </c>
      <c r="F176">
        <v>391.67</v>
      </c>
      <c r="G176">
        <v>18862.836357237498</v>
      </c>
      <c r="H176">
        <v>49625.983575999802</v>
      </c>
      <c r="I176">
        <v>40360.728093003148</v>
      </c>
      <c r="J176">
        <v>106184.49906078192</v>
      </c>
      <c r="K176">
        <v>0.38009999999999944</v>
      </c>
      <c r="L176" t="e">
        <v>#N/A</v>
      </c>
      <c r="M176" t="e">
        <v>#N/A</v>
      </c>
      <c r="N176" t="e">
        <v>#N/A</v>
      </c>
      <c r="O176">
        <v>0</v>
      </c>
    </row>
    <row r="177" spans="1:15">
      <c r="A177">
        <v>174</v>
      </c>
      <c r="B177" t="s">
        <v>647</v>
      </c>
      <c r="C177" t="s">
        <v>648</v>
      </c>
      <c r="D177" t="e">
        <f>NA()</f>
        <v>#N/A</v>
      </c>
      <c r="E177">
        <v>2000</v>
      </c>
      <c r="F177">
        <v>107.754</v>
      </c>
      <c r="G177">
        <v>3781.6892465010901</v>
      </c>
      <c r="H177" t="e">
        <v>#N/A</v>
      </c>
      <c r="I177">
        <v>1581.1994613820232</v>
      </c>
      <c r="J177" t="e">
        <v>#N/A</v>
      </c>
      <c r="K177" t="e">
        <v>#N/A</v>
      </c>
      <c r="L177" t="e">
        <v>#N/A</v>
      </c>
      <c r="M177" t="e">
        <v>#N/A</v>
      </c>
      <c r="N177" t="e">
        <v>#N/A</v>
      </c>
      <c r="O177">
        <v>0</v>
      </c>
    </row>
    <row r="178" spans="1:15">
      <c r="A178">
        <v>175</v>
      </c>
      <c r="B178" t="s">
        <v>654</v>
      </c>
      <c r="C178" t="s">
        <v>655</v>
      </c>
      <c r="D178" t="e">
        <f>NA()</f>
        <v>#N/A</v>
      </c>
      <c r="E178">
        <v>2000</v>
      </c>
      <c r="F178">
        <v>210.13399999999999</v>
      </c>
      <c r="G178">
        <v>14014.404100997501</v>
      </c>
      <c r="H178">
        <v>30625.8830878443</v>
      </c>
      <c r="I178">
        <v>48595.04560413587</v>
      </c>
      <c r="J178">
        <v>106195.46679225535</v>
      </c>
      <c r="K178">
        <v>0.45759999999999834</v>
      </c>
      <c r="L178" t="e">
        <v>#N/A</v>
      </c>
      <c r="M178" t="e">
        <v>#N/A</v>
      </c>
      <c r="N178" t="e">
        <v>#N/A</v>
      </c>
      <c r="O178">
        <v>0</v>
      </c>
    </row>
    <row r="179" spans="1:15">
      <c r="A179">
        <v>176</v>
      </c>
      <c r="B179" t="s">
        <v>659</v>
      </c>
      <c r="C179" t="s">
        <v>660</v>
      </c>
      <c r="D179" t="e">
        <f>NA()</f>
        <v>#N/A</v>
      </c>
      <c r="E179">
        <v>2000</v>
      </c>
      <c r="F179">
        <v>18.765999999999998</v>
      </c>
      <c r="G179">
        <v>9357.1192819054595</v>
      </c>
      <c r="H179" t="e">
        <v>#N/A</v>
      </c>
      <c r="I179">
        <v>4734.4155362482052</v>
      </c>
      <c r="J179" t="e">
        <v>#N/A</v>
      </c>
      <c r="K179" t="e">
        <v>#N/A</v>
      </c>
      <c r="L179" t="e">
        <v>#N/A</v>
      </c>
      <c r="M179" t="e">
        <v>#N/A</v>
      </c>
      <c r="N179" t="e">
        <v>#N/A</v>
      </c>
      <c r="O179">
        <v>0</v>
      </c>
    </row>
    <row r="180" spans="1:15">
      <c r="A180">
        <v>177</v>
      </c>
      <c r="B180" t="s">
        <v>664</v>
      </c>
      <c r="C180" t="s">
        <v>665</v>
      </c>
      <c r="D180" t="e">
        <f>NA()</f>
        <v>#N/A</v>
      </c>
      <c r="E180">
        <v>2000</v>
      </c>
      <c r="F180">
        <v>3815.893</v>
      </c>
      <c r="G180">
        <v>21211.214858270101</v>
      </c>
      <c r="H180">
        <v>55981.036838928798</v>
      </c>
      <c r="I180">
        <v>45765.401221307933</v>
      </c>
      <c r="J180">
        <v>120784.90689181308</v>
      </c>
      <c r="K180">
        <v>0.37889999999999963</v>
      </c>
      <c r="L180">
        <v>4.625</v>
      </c>
      <c r="M180">
        <v>1.4471918159639428</v>
      </c>
      <c r="N180">
        <v>26486.300429519724</v>
      </c>
      <c r="O180">
        <v>1</v>
      </c>
    </row>
    <row r="181" spans="1:15">
      <c r="A181">
        <v>178</v>
      </c>
      <c r="B181" t="s">
        <v>666</v>
      </c>
      <c r="C181" t="s">
        <v>667</v>
      </c>
      <c r="D181" t="e">
        <f>NA()</f>
        <v>#N/A</v>
      </c>
      <c r="E181">
        <v>2000</v>
      </c>
      <c r="F181">
        <v>744.48299999999995</v>
      </c>
      <c r="G181">
        <v>32260.652519870899</v>
      </c>
      <c r="H181">
        <v>58305.896475458001</v>
      </c>
      <c r="I181">
        <v>49596.484565204933</v>
      </c>
      <c r="J181">
        <v>89637.600876929238</v>
      </c>
      <c r="K181">
        <v>0.55329999999999979</v>
      </c>
      <c r="L181" t="e">
        <v>#N/A</v>
      </c>
      <c r="M181" t="e">
        <v>#N/A</v>
      </c>
      <c r="N181" t="e">
        <v>#N/A</v>
      </c>
      <c r="O181">
        <v>0</v>
      </c>
    </row>
    <row r="182" spans="1:15">
      <c r="A182">
        <v>179</v>
      </c>
      <c r="B182" t="s">
        <v>668</v>
      </c>
      <c r="C182" t="s">
        <v>669</v>
      </c>
      <c r="D182" t="e">
        <f>NA()</f>
        <v>#N/A</v>
      </c>
      <c r="E182">
        <v>2000</v>
      </c>
      <c r="F182">
        <v>179.46600000000001</v>
      </c>
      <c r="G182">
        <v>3070.9173520607001</v>
      </c>
      <c r="H182" t="e">
        <v>#N/A</v>
      </c>
      <c r="I182">
        <v>13438.142753601212</v>
      </c>
      <c r="J182" t="e">
        <v>#N/A</v>
      </c>
      <c r="K182" t="e">
        <v>#N/A</v>
      </c>
      <c r="L182" t="e">
        <v>#N/A</v>
      </c>
      <c r="M182" t="e">
        <v>#N/A</v>
      </c>
      <c r="N182" t="e">
        <v>#N/A</v>
      </c>
      <c r="O182">
        <v>0</v>
      </c>
    </row>
    <row r="183" spans="1:15">
      <c r="A183">
        <v>180</v>
      </c>
      <c r="B183" t="s">
        <v>670</v>
      </c>
      <c r="C183" t="s">
        <v>671</v>
      </c>
      <c r="D183" t="e">
        <f>NA()</f>
        <v>#N/A</v>
      </c>
      <c r="E183">
        <v>2000</v>
      </c>
      <c r="F183">
        <v>159.88300000000001</v>
      </c>
      <c r="G183">
        <v>1300.1829211549</v>
      </c>
      <c r="H183" t="e">
        <v>#N/A</v>
      </c>
      <c r="I183">
        <v>4828.8896124393232</v>
      </c>
      <c r="J183" t="e">
        <v>#N/A</v>
      </c>
      <c r="K183" t="e">
        <v>#N/A</v>
      </c>
      <c r="L183" t="e">
        <v>#N/A</v>
      </c>
      <c r="M183" t="e">
        <v>#N/A</v>
      </c>
      <c r="N183" t="e">
        <v>#N/A</v>
      </c>
      <c r="O183">
        <v>0</v>
      </c>
    </row>
    <row r="184" spans="1:15">
      <c r="A184">
        <v>181</v>
      </c>
      <c r="B184" t="s">
        <v>673</v>
      </c>
      <c r="C184" t="s">
        <v>674</v>
      </c>
      <c r="D184" t="e">
        <f>NA()</f>
        <v>#N/A</v>
      </c>
      <c r="E184">
        <v>2000</v>
      </c>
      <c r="F184">
        <v>79.325999999999993</v>
      </c>
      <c r="G184">
        <v>10592.7862648474</v>
      </c>
      <c r="H184">
        <v>24361.0088385567</v>
      </c>
      <c r="I184" t="e">
        <v>#VALUE!</v>
      </c>
      <c r="J184" t="e">
        <v>#VALUE!</v>
      </c>
      <c r="K184">
        <v>0.43482543498288817</v>
      </c>
      <c r="L184">
        <v>2.2269999999999999</v>
      </c>
      <c r="M184">
        <v>0.91014987065880137</v>
      </c>
      <c r="N184" t="e">
        <v>#VALUE!</v>
      </c>
      <c r="O184">
        <v>0</v>
      </c>
    </row>
    <row r="185" spans="1:15">
      <c r="A185">
        <v>182</v>
      </c>
      <c r="B185" t="s">
        <v>677</v>
      </c>
      <c r="C185" t="s">
        <v>678</v>
      </c>
      <c r="D185" t="e">
        <f>NA()</f>
        <v>#N/A</v>
      </c>
      <c r="E185">
        <v>2000</v>
      </c>
      <c r="F185">
        <v>466.19400000000002</v>
      </c>
      <c r="G185">
        <v>2012.5880268170899</v>
      </c>
      <c r="H185">
        <v>4039.7190421860601</v>
      </c>
      <c r="I185">
        <v>2645.2919332627448</v>
      </c>
      <c r="J185">
        <v>5309.6987821412113</v>
      </c>
      <c r="K185">
        <v>0.4981999999999987</v>
      </c>
      <c r="L185" t="e">
        <v>#N/A</v>
      </c>
      <c r="M185" t="e">
        <v>#N/A</v>
      </c>
      <c r="N185" t="e">
        <v>#N/A</v>
      </c>
      <c r="O185">
        <v>0</v>
      </c>
    </row>
    <row r="186" spans="1:15">
      <c r="A186">
        <v>183</v>
      </c>
      <c r="B186" t="s">
        <v>682</v>
      </c>
      <c r="C186" t="s">
        <v>683</v>
      </c>
      <c r="D186" t="e">
        <f>NA()</f>
        <v>#N/A</v>
      </c>
      <c r="E186">
        <v>2000</v>
      </c>
      <c r="F186">
        <v>38.819000000000003</v>
      </c>
      <c r="G186">
        <v>14393.295396044399</v>
      </c>
      <c r="H186" t="e">
        <v>#N/A</v>
      </c>
      <c r="I186">
        <v>30620.333545614903</v>
      </c>
      <c r="J186" t="e">
        <v>#N/A</v>
      </c>
      <c r="K186" t="e">
        <v>#N/A</v>
      </c>
      <c r="L186" t="e">
        <v>#N/A</v>
      </c>
      <c r="M186" t="e">
        <v>#N/A</v>
      </c>
      <c r="N186" t="e">
        <v>#N/A</v>
      </c>
      <c r="O186">
        <v>0</v>
      </c>
    </row>
    <row r="187" spans="1:15">
      <c r="A187">
        <v>184</v>
      </c>
      <c r="B187" t="s">
        <v>684</v>
      </c>
      <c r="C187" t="s">
        <v>685</v>
      </c>
      <c r="D187" t="e">
        <f>NA()</f>
        <v>#N/A</v>
      </c>
      <c r="E187">
        <v>2000</v>
      </c>
      <c r="F187">
        <v>156.26</v>
      </c>
      <c r="G187">
        <v>6838.9960294353896</v>
      </c>
      <c r="H187" t="e">
        <v>#N/A</v>
      </c>
      <c r="I187">
        <v>12617.587029798993</v>
      </c>
      <c r="J187" t="e">
        <v>#N/A</v>
      </c>
      <c r="K187" t="e">
        <v>#N/A</v>
      </c>
      <c r="L187" t="e">
        <v>#N/A</v>
      </c>
      <c r="M187" t="e">
        <v>#N/A</v>
      </c>
      <c r="N187" t="e">
        <v>#N/A</v>
      </c>
      <c r="O187">
        <v>0</v>
      </c>
    </row>
    <row r="188" spans="1:15">
      <c r="A188">
        <v>185</v>
      </c>
      <c r="B188" t="s">
        <v>686</v>
      </c>
      <c r="C188" t="s">
        <v>687</v>
      </c>
      <c r="D188" t="e">
        <f>NA()</f>
        <v>#N/A</v>
      </c>
      <c r="E188">
        <v>2000</v>
      </c>
      <c r="F188">
        <v>115.461</v>
      </c>
      <c r="G188">
        <v>7671.7532861904201</v>
      </c>
      <c r="H188">
        <v>18442.754872330501</v>
      </c>
      <c r="I188">
        <v>9432.9884506982944</v>
      </c>
      <c r="J188">
        <v>22676.732061093448</v>
      </c>
      <c r="K188">
        <v>0.41597653600549028</v>
      </c>
      <c r="L188" t="e">
        <v>#N/A</v>
      </c>
      <c r="M188" t="e">
        <v>#N/A</v>
      </c>
      <c r="N188" t="e">
        <v>#N/A</v>
      </c>
      <c r="O188">
        <v>0</v>
      </c>
    </row>
    <row r="189" spans="1:15">
      <c r="A189">
        <v>186</v>
      </c>
      <c r="B189" t="s">
        <v>695</v>
      </c>
      <c r="C189" t="s">
        <v>696</v>
      </c>
      <c r="D189" t="e">
        <f>NA()</f>
        <v>#N/A</v>
      </c>
      <c r="E189">
        <v>2000</v>
      </c>
      <c r="F189">
        <v>102.321</v>
      </c>
      <c r="G189">
        <v>3398.2680752818401</v>
      </c>
      <c r="H189" t="e">
        <v>#N/A</v>
      </c>
      <c r="I189">
        <v>4953.6965492437112</v>
      </c>
      <c r="J189" t="e">
        <v>#N/A</v>
      </c>
      <c r="K189" t="e">
        <v>#N/A</v>
      </c>
      <c r="L189" t="e">
        <v>#N/A</v>
      </c>
      <c r="M189" t="e">
        <v>#N/A</v>
      </c>
      <c r="N189" t="e">
        <v>#N/A</v>
      </c>
      <c r="O189">
        <v>0</v>
      </c>
    </row>
    <row r="190" spans="1:15">
      <c r="A190">
        <v>187</v>
      </c>
      <c r="B190" t="s">
        <v>697</v>
      </c>
      <c r="C190" t="s">
        <v>698</v>
      </c>
      <c r="D190" t="e">
        <f>NA()</f>
        <v>#N/A</v>
      </c>
      <c r="E190">
        <v>2000</v>
      </c>
      <c r="F190">
        <v>1125.066</v>
      </c>
      <c r="G190">
        <v>14770.034386637901</v>
      </c>
      <c r="H190">
        <v>33101.825160551198</v>
      </c>
      <c r="I190">
        <v>48118.603638748675</v>
      </c>
      <c r="J190">
        <v>107840.88668477997</v>
      </c>
      <c r="K190">
        <v>0.44619999999999865</v>
      </c>
      <c r="L190">
        <v>7.76</v>
      </c>
      <c r="M190">
        <v>2.4582261190084886</v>
      </c>
      <c r="N190">
        <v>7526.4850609716887</v>
      </c>
      <c r="O190">
        <v>1</v>
      </c>
    </row>
    <row r="191" spans="1:15">
      <c r="A191">
        <v>188</v>
      </c>
      <c r="B191" t="s">
        <v>701</v>
      </c>
      <c r="C191" t="s">
        <v>702</v>
      </c>
      <c r="D191" t="e">
        <f>NA()</f>
        <v>#N/A</v>
      </c>
      <c r="E191">
        <v>2000</v>
      </c>
      <c r="F191">
        <v>189.61799999999999</v>
      </c>
      <c r="G191">
        <v>3234.7291803098101</v>
      </c>
      <c r="H191" t="e">
        <v>#N/A</v>
      </c>
      <c r="I191">
        <v>6502.1418246832291</v>
      </c>
      <c r="J191" t="e">
        <v>#N/A</v>
      </c>
      <c r="K191" t="e">
        <v>#N/A</v>
      </c>
      <c r="L191" t="e">
        <v>#N/A</v>
      </c>
      <c r="M191" t="e">
        <v>#N/A</v>
      </c>
      <c r="N191" t="e">
        <v>#N/A</v>
      </c>
      <c r="O191">
        <v>0</v>
      </c>
    </row>
  </sheetData>
  <mergeCells count="2">
    <mergeCell ref="F1:K1"/>
    <mergeCell ref="L1:O1"/>
  </mergeCells>
  <phoneticPr fontId="1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4" enableFormatConditionsCalculation="0">
    <tabColor indexed="8"/>
  </sheetPr>
  <dimension ref="A1:J105"/>
  <sheetViews>
    <sheetView workbookViewId="0">
      <selection activeCell="A2" sqref="A2"/>
    </sheetView>
  </sheetViews>
  <sheetFormatPr defaultRowHeight="12.75"/>
  <sheetData>
    <row r="1" spans="1:10">
      <c r="A1" t="s">
        <v>3</v>
      </c>
      <c r="B1" t="s">
        <v>363</v>
      </c>
      <c r="C1" t="s">
        <v>257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  <c r="I1" t="s">
        <v>263</v>
      </c>
      <c r="J1" t="s">
        <v>264</v>
      </c>
    </row>
    <row r="2" spans="1:10">
      <c r="A2" t="s">
        <v>265</v>
      </c>
      <c r="B2" t="s">
        <v>9</v>
      </c>
      <c r="C2">
        <v>0.4</v>
      </c>
      <c r="D2">
        <v>0.79</v>
      </c>
      <c r="E2">
        <v>0.33</v>
      </c>
      <c r="F2">
        <v>0.99</v>
      </c>
      <c r="G2" s="2">
        <v>2.8899999999999999E-2</v>
      </c>
      <c r="H2" s="2">
        <v>7.1000000000000004E-3</v>
      </c>
      <c r="I2" s="2">
        <v>6.4000000000000003E-3</v>
      </c>
      <c r="J2" s="2">
        <v>1.9599999999999999E-2</v>
      </c>
    </row>
    <row r="3" spans="1:10">
      <c r="A3" t="s">
        <v>307</v>
      </c>
      <c r="B3" t="s">
        <v>11</v>
      </c>
      <c r="C3">
        <v>0.44</v>
      </c>
      <c r="D3">
        <v>1.1100000000000001</v>
      </c>
      <c r="E3">
        <v>0.51</v>
      </c>
      <c r="F3">
        <v>0.64</v>
      </c>
      <c r="G3" s="2">
        <v>1.11E-2</v>
      </c>
      <c r="H3" s="2">
        <v>1.38E-2</v>
      </c>
      <c r="I3" s="2">
        <v>5.7000000000000002E-3</v>
      </c>
      <c r="J3" s="2">
        <v>-2.5000000000000001E-3</v>
      </c>
    </row>
    <row r="4" spans="1:10">
      <c r="A4" t="s">
        <v>359</v>
      </c>
      <c r="B4" t="s">
        <v>13</v>
      </c>
      <c r="C4">
        <v>0.86</v>
      </c>
      <c r="D4">
        <v>1.33</v>
      </c>
      <c r="E4">
        <v>0.74</v>
      </c>
      <c r="F4">
        <v>0.85</v>
      </c>
      <c r="G4" s="2">
        <v>1.6299999999999999E-2</v>
      </c>
      <c r="H4" s="2">
        <v>4.5999999999999999E-3</v>
      </c>
      <c r="I4" s="2">
        <v>4.7999999999999996E-3</v>
      </c>
      <c r="J4" s="2">
        <v>9.7999999999999997E-3</v>
      </c>
    </row>
    <row r="5" spans="1:10">
      <c r="A5" t="s">
        <v>338</v>
      </c>
      <c r="B5" t="s">
        <v>14</v>
      </c>
      <c r="C5">
        <v>0.71</v>
      </c>
      <c r="D5">
        <v>1.53</v>
      </c>
      <c r="E5">
        <v>0.45</v>
      </c>
      <c r="F5">
        <v>0.88</v>
      </c>
      <c r="G5" s="2">
        <v>3.2000000000000001E-2</v>
      </c>
      <c r="H5" s="2">
        <v>7.4000000000000003E-3</v>
      </c>
      <c r="I5" s="2">
        <v>1.4200000000000001E-2</v>
      </c>
      <c r="J5" s="2">
        <v>1.72E-2</v>
      </c>
    </row>
    <row r="6" spans="1:10">
      <c r="A6" t="s">
        <v>318</v>
      </c>
      <c r="B6" t="s">
        <v>16</v>
      </c>
      <c r="C6">
        <v>0.13</v>
      </c>
      <c r="D6">
        <v>0.24</v>
      </c>
      <c r="E6">
        <v>0.52</v>
      </c>
      <c r="F6">
        <v>0.55000000000000004</v>
      </c>
      <c r="G6" s="2">
        <v>1.7299999999999999E-2</v>
      </c>
      <c r="H6" s="2">
        <v>-1.11E-2</v>
      </c>
      <c r="I6" s="2">
        <v>8.9999999999999993E-3</v>
      </c>
      <c r="J6" s="2">
        <v>1.9199999999999998E-2</v>
      </c>
    </row>
    <row r="7" spans="1:10">
      <c r="A7" t="s">
        <v>266</v>
      </c>
      <c r="B7" t="s">
        <v>20</v>
      </c>
      <c r="C7">
        <v>7.0000000000000007E-2</v>
      </c>
      <c r="D7">
        <v>0.47</v>
      </c>
      <c r="E7">
        <v>0.34</v>
      </c>
      <c r="F7">
        <v>0.25</v>
      </c>
      <c r="G7" s="2">
        <v>7.7999999999999996E-3</v>
      </c>
      <c r="H7" s="2">
        <v>1.37E-2</v>
      </c>
      <c r="I7" s="2">
        <v>2.0000000000000001E-4</v>
      </c>
      <c r="J7" s="2">
        <v>-2.0999999999999999E-3</v>
      </c>
    </row>
    <row r="8" spans="1:10">
      <c r="A8" t="s">
        <v>339</v>
      </c>
      <c r="B8" t="s">
        <v>18</v>
      </c>
      <c r="C8">
        <v>0.81</v>
      </c>
      <c r="D8">
        <v>1.43</v>
      </c>
      <c r="E8">
        <v>0.64</v>
      </c>
      <c r="F8">
        <v>0.84</v>
      </c>
      <c r="G8" s="2">
        <v>2.5899999999999999E-2</v>
      </c>
      <c r="H8" s="2">
        <v>6.3E-3</v>
      </c>
      <c r="I8" s="2">
        <v>7.3000000000000001E-3</v>
      </c>
      <c r="J8" s="2">
        <v>1.6500000000000001E-2</v>
      </c>
    </row>
    <row r="9" spans="1:10">
      <c r="A9" t="s">
        <v>308</v>
      </c>
      <c r="B9" t="s">
        <v>21</v>
      </c>
      <c r="C9">
        <v>0.17</v>
      </c>
      <c r="D9">
        <v>0.81</v>
      </c>
      <c r="E9">
        <v>0.42</v>
      </c>
      <c r="F9">
        <v>0.35</v>
      </c>
      <c r="G9" s="2">
        <v>2.1100000000000001E-2</v>
      </c>
      <c r="H9" s="2">
        <v>5.7000000000000002E-3</v>
      </c>
      <c r="I9" s="2">
        <v>4.7999999999999996E-3</v>
      </c>
      <c r="J9" s="2">
        <v>1.38E-2</v>
      </c>
    </row>
    <row r="10" spans="1:10">
      <c r="A10" t="s">
        <v>267</v>
      </c>
      <c r="B10" t="s">
        <v>23</v>
      </c>
      <c r="C10">
        <v>0.2</v>
      </c>
      <c r="D10">
        <v>0.49</v>
      </c>
      <c r="E10">
        <v>0.47</v>
      </c>
      <c r="F10">
        <v>0.55000000000000004</v>
      </c>
      <c r="G10" s="2">
        <v>6.8500000000000005E-2</v>
      </c>
      <c r="H10" s="2">
        <v>2.1999999999999999E-2</v>
      </c>
      <c r="I10" s="2">
        <v>7.1000000000000004E-3</v>
      </c>
      <c r="J10" s="2">
        <v>4.8099999999999997E-2</v>
      </c>
    </row>
    <row r="11" spans="1:10">
      <c r="A11" t="s">
        <v>309</v>
      </c>
      <c r="B11" t="s">
        <v>24</v>
      </c>
      <c r="C11">
        <v>0.32</v>
      </c>
      <c r="D11">
        <v>0.7</v>
      </c>
      <c r="E11">
        <v>0.4</v>
      </c>
      <c r="F11">
        <v>0.77</v>
      </c>
      <c r="G11" s="2">
        <v>2.7300000000000001E-2</v>
      </c>
      <c r="H11" s="2">
        <v>3.2000000000000002E-3</v>
      </c>
      <c r="I11" s="2">
        <v>3.5999999999999999E-3</v>
      </c>
      <c r="J11" s="2">
        <v>2.2599999999999999E-2</v>
      </c>
    </row>
    <row r="12" spans="1:10">
      <c r="A12" t="s">
        <v>268</v>
      </c>
      <c r="B12" t="s">
        <v>29</v>
      </c>
      <c r="C12">
        <v>0.11</v>
      </c>
      <c r="D12">
        <v>0.27</v>
      </c>
      <c r="E12">
        <v>0.56000000000000005</v>
      </c>
      <c r="F12">
        <v>0.43</v>
      </c>
      <c r="G12" s="2">
        <v>4.2200000000000001E-2</v>
      </c>
      <c r="H12" s="2">
        <v>1.1599999999999999E-2</v>
      </c>
      <c r="I12" s="2">
        <v>6.3E-3</v>
      </c>
      <c r="J12" s="2">
        <v>2.9700000000000001E-2</v>
      </c>
    </row>
    <row r="13" spans="1:10">
      <c r="A13" t="s">
        <v>294</v>
      </c>
      <c r="B13" t="s">
        <v>30</v>
      </c>
      <c r="C13">
        <v>0.92</v>
      </c>
      <c r="D13">
        <v>0.97</v>
      </c>
      <c r="E13">
        <v>0.85</v>
      </c>
      <c r="F13">
        <v>1.05</v>
      </c>
      <c r="G13" s="2">
        <v>1.8800000000000001E-2</v>
      </c>
      <c r="H13" s="2">
        <v>6.4000000000000003E-3</v>
      </c>
      <c r="I13" s="2">
        <v>9.4000000000000004E-3</v>
      </c>
      <c r="J13" s="2">
        <v>8.0000000000000002E-3</v>
      </c>
    </row>
    <row r="14" spans="1:10">
      <c r="A14" t="s">
        <v>269</v>
      </c>
      <c r="B14" t="s">
        <v>31</v>
      </c>
      <c r="C14">
        <v>0.04</v>
      </c>
      <c r="D14">
        <v>0.6</v>
      </c>
      <c r="E14">
        <v>0.3</v>
      </c>
      <c r="F14">
        <v>0.12</v>
      </c>
      <c r="G14" s="2">
        <v>3.3E-3</v>
      </c>
      <c r="H14" s="2">
        <v>-7.9000000000000008E-3</v>
      </c>
      <c r="I14" s="2">
        <v>5.3E-3</v>
      </c>
      <c r="J14" s="2">
        <v>5.4000000000000003E-3</v>
      </c>
    </row>
    <row r="15" spans="1:10">
      <c r="A15" t="s">
        <v>310</v>
      </c>
      <c r="B15" t="s">
        <v>33</v>
      </c>
      <c r="C15">
        <v>0.28999999999999998</v>
      </c>
      <c r="D15">
        <v>0.91</v>
      </c>
      <c r="E15">
        <v>0.53</v>
      </c>
      <c r="F15">
        <v>0.47</v>
      </c>
      <c r="G15" s="2">
        <v>4.4000000000000003E-3</v>
      </c>
      <c r="H15" s="2">
        <v>7.3000000000000001E-3</v>
      </c>
      <c r="I15" s="2">
        <v>5.1999999999999998E-3</v>
      </c>
      <c r="J15" s="2">
        <v>-4.3E-3</v>
      </c>
    </row>
    <row r="16" spans="1:10">
      <c r="A16" t="s">
        <v>311</v>
      </c>
      <c r="B16" t="s">
        <v>35</v>
      </c>
      <c r="C16">
        <v>0.27</v>
      </c>
      <c r="D16">
        <v>0.53</v>
      </c>
      <c r="E16">
        <v>0.51</v>
      </c>
      <c r="F16">
        <v>0.68</v>
      </c>
      <c r="G16" s="2">
        <v>2.1000000000000001E-2</v>
      </c>
      <c r="H16" s="2">
        <v>3.3E-3</v>
      </c>
      <c r="I16" s="2">
        <v>8.3999999999999995E-3</v>
      </c>
      <c r="J16" s="2">
        <v>1.3100000000000001E-2</v>
      </c>
    </row>
    <row r="17" spans="1:10">
      <c r="A17" t="s">
        <v>270</v>
      </c>
      <c r="B17" t="s">
        <v>36</v>
      </c>
      <c r="C17">
        <v>0.2</v>
      </c>
      <c r="D17">
        <v>0.28999999999999998</v>
      </c>
      <c r="E17">
        <v>0.48</v>
      </c>
      <c r="F17">
        <v>0.81</v>
      </c>
      <c r="G17" s="2">
        <v>4.0599999999999997E-2</v>
      </c>
      <c r="H17" s="2">
        <v>-1.8100000000000002E-2</v>
      </c>
      <c r="I17" s="2">
        <v>3.0000000000000001E-3</v>
      </c>
      <c r="J17" s="2">
        <v>5.16E-2</v>
      </c>
    </row>
    <row r="18" spans="1:10">
      <c r="A18" t="s">
        <v>295</v>
      </c>
      <c r="B18" t="s">
        <v>37</v>
      </c>
      <c r="C18">
        <v>0.27</v>
      </c>
      <c r="D18">
        <v>0.5</v>
      </c>
      <c r="E18">
        <v>0.57999999999999996</v>
      </c>
      <c r="F18">
        <v>0.64</v>
      </c>
      <c r="G18" s="2">
        <v>1.17E-2</v>
      </c>
      <c r="H18" s="2">
        <v>1.6799999999999999E-2</v>
      </c>
      <c r="I18" s="2">
        <v>5.0000000000000001E-3</v>
      </c>
      <c r="J18" s="2">
        <v>-3.5999999999999999E-3</v>
      </c>
    </row>
    <row r="19" spans="1:10">
      <c r="A19" t="s">
        <v>341</v>
      </c>
      <c r="B19" t="s">
        <v>42</v>
      </c>
      <c r="C19">
        <v>0.71</v>
      </c>
      <c r="D19">
        <v>1.49</v>
      </c>
      <c r="E19">
        <v>0.73</v>
      </c>
      <c r="F19">
        <v>0.66</v>
      </c>
      <c r="G19" s="2">
        <v>1.9099999999999999E-2</v>
      </c>
      <c r="H19" s="2">
        <v>5.7999999999999996E-3</v>
      </c>
      <c r="I19" s="2">
        <v>2.5999999999999999E-3</v>
      </c>
      <c r="J19" s="2">
        <v>1.32E-2</v>
      </c>
    </row>
    <row r="20" spans="1:10">
      <c r="A20" t="s">
        <v>296</v>
      </c>
      <c r="B20" t="s">
        <v>43</v>
      </c>
      <c r="C20">
        <v>0.21</v>
      </c>
      <c r="D20">
        <v>0.48</v>
      </c>
      <c r="E20">
        <v>0.51</v>
      </c>
      <c r="F20">
        <v>0.55000000000000004</v>
      </c>
      <c r="G20" s="2">
        <v>2.1600000000000001E-2</v>
      </c>
      <c r="H20" s="2">
        <v>2.3300000000000001E-2</v>
      </c>
      <c r="I20" s="2">
        <v>3.3E-3</v>
      </c>
      <c r="J20" s="2">
        <v>2.8E-3</v>
      </c>
    </row>
    <row r="21" spans="1:10">
      <c r="A21" t="s">
        <v>312</v>
      </c>
      <c r="B21" t="s">
        <v>44</v>
      </c>
      <c r="C21">
        <v>0.28000000000000003</v>
      </c>
      <c r="D21">
        <v>0.67</v>
      </c>
      <c r="E21">
        <v>0.53</v>
      </c>
      <c r="F21">
        <v>0.57999999999999996</v>
      </c>
      <c r="G21" s="2">
        <v>3.0700000000000002E-2</v>
      </c>
      <c r="H21" s="2">
        <v>7.7999999999999996E-3</v>
      </c>
      <c r="I21" s="2">
        <v>1.12E-2</v>
      </c>
      <c r="J21" s="2">
        <v>1.77E-2</v>
      </c>
    </row>
    <row r="22" spans="1:10">
      <c r="A22" t="s">
        <v>297</v>
      </c>
      <c r="B22" t="s">
        <v>46</v>
      </c>
      <c r="C22">
        <v>0.16</v>
      </c>
      <c r="D22">
        <v>0.42</v>
      </c>
      <c r="E22">
        <v>0.51</v>
      </c>
      <c r="F22">
        <v>0.48</v>
      </c>
      <c r="G22" s="2">
        <v>9.4999999999999998E-3</v>
      </c>
      <c r="H22" s="2">
        <v>1.9400000000000001E-2</v>
      </c>
      <c r="I22" s="2">
        <v>5.3E-3</v>
      </c>
      <c r="J22" s="2">
        <v>-7.9000000000000008E-3</v>
      </c>
    </row>
    <row r="23" spans="1:10">
      <c r="A23" t="s">
        <v>342</v>
      </c>
      <c r="B23" t="s">
        <v>51</v>
      </c>
      <c r="C23">
        <v>0.7</v>
      </c>
      <c r="D23">
        <v>1.8</v>
      </c>
      <c r="E23">
        <v>0.6</v>
      </c>
      <c r="F23">
        <v>0.65</v>
      </c>
      <c r="G23" s="2">
        <v>2.87E-2</v>
      </c>
      <c r="H23" s="2">
        <v>1.5E-3</v>
      </c>
      <c r="I23" s="2">
        <v>9.7000000000000003E-3</v>
      </c>
      <c r="J23" s="2">
        <v>2.1100000000000001E-2</v>
      </c>
    </row>
    <row r="24" spans="1:10">
      <c r="A24" t="s">
        <v>343</v>
      </c>
      <c r="B24" t="s">
        <v>52</v>
      </c>
      <c r="C24">
        <v>0.8</v>
      </c>
      <c r="D24">
        <v>1.47</v>
      </c>
      <c r="E24">
        <v>0.45</v>
      </c>
      <c r="F24">
        <v>1.04</v>
      </c>
      <c r="G24" s="2">
        <v>2.7900000000000001E-2</v>
      </c>
      <c r="H24" s="2">
        <v>1.1599999999999999E-2</v>
      </c>
      <c r="I24" s="2">
        <v>1.0200000000000001E-2</v>
      </c>
      <c r="J24" s="2">
        <v>1.29E-2</v>
      </c>
    </row>
    <row r="25" spans="1:10">
      <c r="A25" t="s">
        <v>271</v>
      </c>
      <c r="B25" t="s">
        <v>54</v>
      </c>
      <c r="C25">
        <v>0.05</v>
      </c>
      <c r="D25">
        <v>0.39</v>
      </c>
      <c r="E25">
        <v>0.38</v>
      </c>
      <c r="F25">
        <v>0.18</v>
      </c>
      <c r="G25" s="2">
        <v>1.37E-2</v>
      </c>
      <c r="H25" s="2">
        <v>4.3200000000000002E-2</v>
      </c>
      <c r="I25" s="2">
        <v>-7.0000000000000001E-3</v>
      </c>
      <c r="J25" s="2">
        <v>-1.2500000000000001E-2</v>
      </c>
    </row>
    <row r="26" spans="1:10">
      <c r="A26" t="s">
        <v>344</v>
      </c>
      <c r="B26" t="s">
        <v>56</v>
      </c>
      <c r="C26">
        <v>0.81</v>
      </c>
      <c r="D26">
        <v>1.85</v>
      </c>
      <c r="E26">
        <v>0.53</v>
      </c>
      <c r="F26">
        <v>0.79</v>
      </c>
      <c r="G26" s="2">
        <v>2.69E-2</v>
      </c>
      <c r="H26" s="2">
        <v>5.1000000000000004E-3</v>
      </c>
      <c r="I26" s="2">
        <v>3.0000000000000001E-3</v>
      </c>
      <c r="J26" s="2">
        <v>2.12E-2</v>
      </c>
    </row>
    <row r="27" spans="1:10">
      <c r="A27" t="s">
        <v>272</v>
      </c>
      <c r="B27" t="s">
        <v>58</v>
      </c>
      <c r="C27">
        <v>7.0000000000000007E-2</v>
      </c>
      <c r="D27">
        <v>0.43</v>
      </c>
      <c r="E27">
        <v>0.47</v>
      </c>
      <c r="F27">
        <v>0.2</v>
      </c>
      <c r="G27" s="2">
        <v>3.5999999999999999E-3</v>
      </c>
      <c r="H27" s="2">
        <v>-6.0000000000000001E-3</v>
      </c>
      <c r="I27" s="2">
        <v>1.5100000000000001E-2</v>
      </c>
      <c r="J27" s="2">
        <v>-2.2000000000000001E-3</v>
      </c>
    </row>
    <row r="28" spans="1:10">
      <c r="A28" t="s">
        <v>273</v>
      </c>
      <c r="B28" t="s">
        <v>62</v>
      </c>
      <c r="C28">
        <v>0.04</v>
      </c>
      <c r="D28">
        <v>1.23</v>
      </c>
      <c r="E28">
        <v>0.22</v>
      </c>
      <c r="F28">
        <v>0.1</v>
      </c>
      <c r="G28" s="2">
        <v>1.52E-2</v>
      </c>
      <c r="H28" s="2">
        <v>-1E-4</v>
      </c>
      <c r="I28" s="2">
        <v>3.3999999999999998E-3</v>
      </c>
      <c r="J28" s="2">
        <v>1.29E-2</v>
      </c>
    </row>
    <row r="29" spans="1:10">
      <c r="A29" t="s">
        <v>345</v>
      </c>
      <c r="B29" t="s">
        <v>59</v>
      </c>
      <c r="C29">
        <v>0.48</v>
      </c>
      <c r="D29">
        <v>1.25</v>
      </c>
      <c r="E29">
        <v>0.5</v>
      </c>
      <c r="F29">
        <v>0.65</v>
      </c>
      <c r="G29" s="2">
        <v>4.5999999999999999E-2</v>
      </c>
      <c r="H29" s="2">
        <v>1.41E-2</v>
      </c>
      <c r="I29" s="2">
        <v>9.4000000000000004E-3</v>
      </c>
      <c r="J29" s="2">
        <v>2.9700000000000001E-2</v>
      </c>
    </row>
    <row r="30" spans="1:10">
      <c r="A30" t="s">
        <v>298</v>
      </c>
      <c r="B30" t="s">
        <v>60</v>
      </c>
      <c r="C30">
        <v>0.22</v>
      </c>
      <c r="D30">
        <v>0.54</v>
      </c>
      <c r="E30">
        <v>0.4</v>
      </c>
      <c r="F30">
        <v>0.62</v>
      </c>
      <c r="G30" s="2">
        <v>1.32E-2</v>
      </c>
      <c r="H30" s="2">
        <v>1.24E-2</v>
      </c>
      <c r="I30" s="2">
        <v>4.7000000000000002E-3</v>
      </c>
      <c r="J30" s="2">
        <v>1.1999999999999999E-3</v>
      </c>
    </row>
    <row r="31" spans="1:10">
      <c r="A31" t="s">
        <v>313</v>
      </c>
      <c r="B31" t="s">
        <v>63</v>
      </c>
      <c r="C31">
        <v>0.11</v>
      </c>
      <c r="D31">
        <v>1.34</v>
      </c>
      <c r="E31">
        <v>0.37</v>
      </c>
      <c r="F31">
        <v>0.17</v>
      </c>
      <c r="G31" s="2">
        <v>-1.7999999999999999E-2</v>
      </c>
      <c r="H31" s="2">
        <v>1.5800000000000002E-2</v>
      </c>
      <c r="I31" s="2">
        <v>-1.8E-3</v>
      </c>
      <c r="J31" s="2">
        <v>-2.8199999999999999E-2</v>
      </c>
    </row>
    <row r="32" spans="1:10">
      <c r="A32" t="s">
        <v>299</v>
      </c>
      <c r="B32" t="s">
        <v>64</v>
      </c>
      <c r="C32">
        <v>0.06</v>
      </c>
      <c r="D32">
        <v>0.42</v>
      </c>
      <c r="E32">
        <v>0.39</v>
      </c>
      <c r="F32">
        <v>0.22</v>
      </c>
      <c r="G32" s="2">
        <v>9.5999999999999992E-3</v>
      </c>
      <c r="H32" s="2">
        <v>2.23E-2</v>
      </c>
      <c r="I32" s="2">
        <v>-6.9999999999999999E-4</v>
      </c>
      <c r="J32" s="2">
        <v>-5.7999999999999996E-3</v>
      </c>
    </row>
    <row r="33" spans="1:10">
      <c r="A33" t="s">
        <v>319</v>
      </c>
      <c r="B33" t="s">
        <v>66</v>
      </c>
      <c r="C33">
        <v>0.49</v>
      </c>
      <c r="D33">
        <v>0.56999999999999995</v>
      </c>
      <c r="E33">
        <v>0.74</v>
      </c>
      <c r="F33">
        <v>0.88</v>
      </c>
      <c r="G33" s="2">
        <v>5.4899999999999997E-2</v>
      </c>
      <c r="H33" s="2">
        <v>5.3E-3</v>
      </c>
      <c r="I33" s="2">
        <v>1.0800000000000001E-2</v>
      </c>
      <c r="J33" s="2">
        <v>4.3900000000000002E-2</v>
      </c>
    </row>
    <row r="34" spans="1:10">
      <c r="A34" t="s">
        <v>300</v>
      </c>
      <c r="B34" t="s">
        <v>65</v>
      </c>
      <c r="C34">
        <v>0.14000000000000001</v>
      </c>
      <c r="D34">
        <v>0.5</v>
      </c>
      <c r="E34">
        <v>0.46</v>
      </c>
      <c r="F34">
        <v>0.38</v>
      </c>
      <c r="G34" s="2">
        <v>1.41E-2</v>
      </c>
      <c r="H34" s="2">
        <v>2.0999999999999999E-3</v>
      </c>
      <c r="I34" s="2">
        <v>9.2999999999999992E-3</v>
      </c>
      <c r="J34" s="2">
        <v>6.4000000000000003E-3</v>
      </c>
    </row>
    <row r="35" spans="1:10">
      <c r="A35" t="s">
        <v>346</v>
      </c>
      <c r="B35" t="s">
        <v>68</v>
      </c>
      <c r="C35">
        <v>0.69</v>
      </c>
      <c r="D35">
        <v>1.1000000000000001</v>
      </c>
      <c r="E35">
        <v>0.59</v>
      </c>
      <c r="F35">
        <v>0.91</v>
      </c>
      <c r="G35" s="2">
        <v>2.46E-2</v>
      </c>
      <c r="H35" s="2">
        <v>-4.1999999999999997E-3</v>
      </c>
      <c r="I35" s="2">
        <v>1.2E-2</v>
      </c>
      <c r="J35" s="2">
        <v>1.95E-2</v>
      </c>
    </row>
    <row r="36" spans="1:10">
      <c r="A36" t="s">
        <v>321</v>
      </c>
      <c r="B36" t="s">
        <v>70</v>
      </c>
      <c r="C36">
        <v>0.13</v>
      </c>
      <c r="D36">
        <v>0.59</v>
      </c>
      <c r="E36">
        <v>0.45</v>
      </c>
      <c r="F36">
        <v>0.32</v>
      </c>
      <c r="G36" s="2">
        <v>3.8899999999999997E-2</v>
      </c>
      <c r="H36" s="2">
        <v>1.8800000000000001E-2</v>
      </c>
      <c r="I36" s="2">
        <v>9.4999999999999998E-3</v>
      </c>
      <c r="J36" s="2">
        <v>1.9099999999999999E-2</v>
      </c>
    </row>
    <row r="37" spans="1:10">
      <c r="A37" t="s">
        <v>320</v>
      </c>
      <c r="B37" t="s">
        <v>69</v>
      </c>
      <c r="C37">
        <v>0.08</v>
      </c>
      <c r="D37">
        <v>0.71</v>
      </c>
      <c r="E37">
        <v>0.38</v>
      </c>
      <c r="F37">
        <v>0.2</v>
      </c>
      <c r="G37" s="2">
        <v>1.7399999999999999E-2</v>
      </c>
      <c r="H37" s="2">
        <v>-7.0000000000000001E-3</v>
      </c>
      <c r="I37" s="2">
        <v>1.0699999999999999E-2</v>
      </c>
      <c r="J37" s="2">
        <v>1.5299999999999999E-2</v>
      </c>
    </row>
    <row r="38" spans="1:10">
      <c r="A38" t="s">
        <v>347</v>
      </c>
      <c r="B38" t="s">
        <v>73</v>
      </c>
      <c r="C38">
        <v>0.56999999999999995</v>
      </c>
      <c r="D38">
        <v>1.07</v>
      </c>
      <c r="E38">
        <v>0.62</v>
      </c>
      <c r="F38">
        <v>0.75</v>
      </c>
      <c r="G38" s="2">
        <v>3.3099999999999997E-2</v>
      </c>
      <c r="H38" s="2">
        <v>9.2999999999999992E-3</v>
      </c>
      <c r="I38" s="2">
        <v>4.7000000000000002E-3</v>
      </c>
      <c r="J38" s="2">
        <v>2.3300000000000001E-2</v>
      </c>
    </row>
    <row r="39" spans="1:10">
      <c r="A39" t="s">
        <v>322</v>
      </c>
      <c r="B39" t="s">
        <v>71</v>
      </c>
      <c r="C39">
        <v>0.41</v>
      </c>
      <c r="D39">
        <v>0.73</v>
      </c>
      <c r="E39">
        <v>0.39</v>
      </c>
      <c r="F39">
        <v>0.97</v>
      </c>
      <c r="G39" s="2">
        <v>1.29E-2</v>
      </c>
      <c r="H39" s="2">
        <v>3.3500000000000002E-2</v>
      </c>
      <c r="I39" s="2">
        <v>6.7999999999999996E-3</v>
      </c>
      <c r="J39" s="2">
        <v>-1.55E-2</v>
      </c>
    </row>
    <row r="40" spans="1:10">
      <c r="A40" t="s">
        <v>323</v>
      </c>
      <c r="B40" t="s">
        <v>72</v>
      </c>
      <c r="C40">
        <v>0.47</v>
      </c>
      <c r="D40">
        <v>0.57999999999999996</v>
      </c>
      <c r="E40">
        <v>0.41</v>
      </c>
      <c r="F40">
        <v>1.26</v>
      </c>
      <c r="G40" s="2">
        <v>8.5000000000000006E-3</v>
      </c>
      <c r="H40" s="2">
        <v>5.7000000000000002E-2</v>
      </c>
      <c r="I40" s="2">
        <v>5.0000000000000001E-4</v>
      </c>
      <c r="J40" s="2">
        <v>-3.2599999999999997E-2</v>
      </c>
    </row>
    <row r="41" spans="1:10">
      <c r="A41" t="s">
        <v>324</v>
      </c>
      <c r="B41" t="s">
        <v>74</v>
      </c>
      <c r="C41">
        <v>0.65</v>
      </c>
      <c r="D41">
        <v>0.88</v>
      </c>
      <c r="E41">
        <v>0.79</v>
      </c>
      <c r="F41">
        <v>0.84</v>
      </c>
      <c r="G41" s="2">
        <v>3.27E-2</v>
      </c>
      <c r="H41" s="2">
        <v>7.9000000000000008E-3</v>
      </c>
      <c r="I41" s="2">
        <v>1.0200000000000001E-2</v>
      </c>
      <c r="J41" s="2">
        <v>2.0299999999999999E-2</v>
      </c>
    </row>
    <row r="42" spans="1:10">
      <c r="A42" t="s">
        <v>348</v>
      </c>
      <c r="B42" t="s">
        <v>75</v>
      </c>
      <c r="C42">
        <v>0.8</v>
      </c>
      <c r="D42">
        <v>1.51</v>
      </c>
      <c r="E42">
        <v>0.43</v>
      </c>
      <c r="F42">
        <v>1.04</v>
      </c>
      <c r="G42" s="2">
        <v>3.5999999999999997E-2</v>
      </c>
      <c r="H42" s="2">
        <v>4.4000000000000003E-3</v>
      </c>
      <c r="I42" s="2">
        <v>8.5000000000000006E-3</v>
      </c>
      <c r="J42" s="2">
        <v>2.7199999999999998E-2</v>
      </c>
    </row>
    <row r="43" spans="1:10">
      <c r="A43" t="s">
        <v>325</v>
      </c>
      <c r="B43" t="s">
        <v>77</v>
      </c>
      <c r="C43">
        <v>0.56000000000000005</v>
      </c>
      <c r="D43">
        <v>1.35</v>
      </c>
      <c r="E43">
        <v>0.6</v>
      </c>
      <c r="F43">
        <v>0.63</v>
      </c>
      <c r="G43" s="2">
        <v>5.2999999999999999E-2</v>
      </c>
      <c r="H43" s="2">
        <v>2.01E-2</v>
      </c>
      <c r="I43" s="2">
        <v>5.1000000000000004E-3</v>
      </c>
      <c r="J43" s="2">
        <v>3.5299999999999998E-2</v>
      </c>
    </row>
    <row r="44" spans="1:10">
      <c r="A44" t="s">
        <v>326</v>
      </c>
      <c r="B44" t="s">
        <v>78</v>
      </c>
      <c r="C44">
        <v>0.46</v>
      </c>
      <c r="D44">
        <v>0.34</v>
      </c>
      <c r="E44">
        <v>0.61</v>
      </c>
      <c r="F44">
        <v>1.39</v>
      </c>
      <c r="G44" s="2">
        <v>0.05</v>
      </c>
      <c r="H44" s="2">
        <v>2.3400000000000001E-2</v>
      </c>
      <c r="I44" s="2">
        <v>9.4999999999999998E-3</v>
      </c>
      <c r="J44" s="2">
        <v>2.69E-2</v>
      </c>
    </row>
    <row r="45" spans="1:10">
      <c r="A45" t="s">
        <v>274</v>
      </c>
      <c r="B45" t="s">
        <v>80</v>
      </c>
      <c r="C45">
        <v>0.06</v>
      </c>
      <c r="D45">
        <v>0.63</v>
      </c>
      <c r="E45">
        <v>0.4</v>
      </c>
      <c r="F45">
        <v>0.15</v>
      </c>
      <c r="G45" s="2">
        <v>1.3100000000000001E-2</v>
      </c>
      <c r="H45" s="2">
        <v>-1E-3</v>
      </c>
      <c r="I45" s="2">
        <v>1.03E-2</v>
      </c>
      <c r="J45" s="2">
        <v>7.0000000000000001E-3</v>
      </c>
    </row>
    <row r="46" spans="1:10">
      <c r="A46" t="s">
        <v>327</v>
      </c>
      <c r="B46" t="s">
        <v>83</v>
      </c>
      <c r="C46">
        <v>0.31</v>
      </c>
      <c r="D46">
        <v>0.57999999999999996</v>
      </c>
      <c r="E46">
        <v>0.76</v>
      </c>
      <c r="F46">
        <v>0.54</v>
      </c>
      <c r="G46" s="2">
        <v>5.3699999999999998E-2</v>
      </c>
      <c r="H46" s="2">
        <v>2.3199999999999998E-2</v>
      </c>
      <c r="I46" s="2">
        <v>1.77E-2</v>
      </c>
      <c r="J46" s="2">
        <v>2.5399999999999999E-2</v>
      </c>
    </row>
    <row r="47" spans="1:10">
      <c r="A47" t="s">
        <v>275</v>
      </c>
      <c r="B47" t="s">
        <v>89</v>
      </c>
      <c r="C47">
        <v>0.06</v>
      </c>
      <c r="D47">
        <v>0.41</v>
      </c>
      <c r="E47">
        <v>0.51</v>
      </c>
      <c r="F47">
        <v>0.18</v>
      </c>
      <c r="G47" s="2">
        <v>5.0299999999999997E-2</v>
      </c>
      <c r="H47" s="2">
        <v>4.2799999999999998E-2</v>
      </c>
      <c r="I47" s="2">
        <v>-5.4999999999999997E-3</v>
      </c>
      <c r="J47" s="2">
        <v>2.3400000000000001E-2</v>
      </c>
    </row>
    <row r="48" spans="1:10">
      <c r="A48" t="s">
        <v>276</v>
      </c>
      <c r="B48" t="s">
        <v>90</v>
      </c>
      <c r="C48">
        <v>7.0000000000000007E-2</v>
      </c>
      <c r="D48">
        <v>0.74</v>
      </c>
      <c r="E48">
        <v>0.31</v>
      </c>
      <c r="F48">
        <v>0.18</v>
      </c>
      <c r="G48" s="2">
        <v>1.2200000000000001E-2</v>
      </c>
      <c r="H48" s="2">
        <v>-8.2000000000000007E-3</v>
      </c>
      <c r="I48" s="2">
        <v>9.1999999999999998E-3</v>
      </c>
      <c r="J48" s="2">
        <v>1.1900000000000001E-2</v>
      </c>
    </row>
    <row r="49" spans="1:10">
      <c r="A49" t="s">
        <v>278</v>
      </c>
      <c r="B49" t="s">
        <v>98</v>
      </c>
      <c r="C49">
        <v>0.05</v>
      </c>
      <c r="D49">
        <v>0.67</v>
      </c>
      <c r="E49">
        <v>0.27</v>
      </c>
      <c r="F49">
        <v>0.16</v>
      </c>
      <c r="G49" s="2">
        <v>4.4999999999999997E-3</v>
      </c>
      <c r="H49" s="2">
        <v>-2.2800000000000001E-2</v>
      </c>
      <c r="I49" s="2">
        <v>7.7000000000000002E-3</v>
      </c>
      <c r="J49" s="2">
        <v>1.5699999999999999E-2</v>
      </c>
    </row>
    <row r="50" spans="1:10">
      <c r="A50" t="s">
        <v>279</v>
      </c>
      <c r="B50" t="s">
        <v>100</v>
      </c>
      <c r="C50">
        <v>0.22</v>
      </c>
      <c r="D50">
        <v>0.42</v>
      </c>
      <c r="E50">
        <v>0.56999999999999995</v>
      </c>
      <c r="F50">
        <v>0.59</v>
      </c>
      <c r="G50" s="2">
        <v>8.9999999999999993E-3</v>
      </c>
      <c r="H50" s="2">
        <v>-1.09E-2</v>
      </c>
      <c r="I50" s="2">
        <v>1.43E-2</v>
      </c>
      <c r="J50" s="2">
        <v>7.1999999999999998E-3</v>
      </c>
    </row>
    <row r="51" spans="1:10">
      <c r="A51" t="s">
        <v>302</v>
      </c>
      <c r="B51" t="s">
        <v>101</v>
      </c>
      <c r="C51">
        <v>0.5</v>
      </c>
      <c r="D51">
        <v>0.49</v>
      </c>
      <c r="E51">
        <v>0.53</v>
      </c>
      <c r="F51">
        <v>1.29</v>
      </c>
      <c r="G51" s="2">
        <v>2.3300000000000001E-2</v>
      </c>
      <c r="H51" s="2">
        <v>1.2699999999999999E-2</v>
      </c>
      <c r="I51" s="2">
        <v>7.0000000000000001E-3</v>
      </c>
      <c r="J51" s="2">
        <v>9.4999999999999998E-3</v>
      </c>
    </row>
    <row r="52" spans="1:10">
      <c r="A52" t="s">
        <v>277</v>
      </c>
      <c r="B52" t="s">
        <v>96</v>
      </c>
      <c r="C52">
        <v>0.03</v>
      </c>
      <c r="D52">
        <v>0.56999999999999995</v>
      </c>
      <c r="E52">
        <v>0.39</v>
      </c>
      <c r="F52">
        <v>0.1</v>
      </c>
      <c r="G52" s="2">
        <v>1.7000000000000001E-2</v>
      </c>
      <c r="H52" s="2">
        <v>1.8700000000000001E-2</v>
      </c>
      <c r="I52" s="2">
        <v>4.0000000000000002E-4</v>
      </c>
      <c r="J52" s="2">
        <v>3.3999999999999998E-3</v>
      </c>
    </row>
    <row r="53" spans="1:10">
      <c r="A53" t="s">
        <v>328</v>
      </c>
      <c r="B53" t="s">
        <v>97</v>
      </c>
      <c r="C53">
        <v>0.31</v>
      </c>
      <c r="D53">
        <v>0.68</v>
      </c>
      <c r="E53">
        <v>0.51</v>
      </c>
      <c r="F53">
        <v>0.63</v>
      </c>
      <c r="G53" s="2">
        <v>3.7400000000000003E-2</v>
      </c>
      <c r="H53" s="2">
        <v>1.2999999999999999E-2</v>
      </c>
      <c r="I53" s="2">
        <v>1.21E-2</v>
      </c>
      <c r="J53" s="2">
        <v>0.02</v>
      </c>
    </row>
    <row r="54" spans="1:10">
      <c r="A54" t="s">
        <v>280</v>
      </c>
      <c r="B54" t="s">
        <v>106</v>
      </c>
      <c r="C54">
        <v>0.04</v>
      </c>
      <c r="D54">
        <v>0.18</v>
      </c>
      <c r="E54">
        <v>0.52</v>
      </c>
      <c r="F54">
        <v>0.22</v>
      </c>
      <c r="G54" s="2">
        <v>-1.18E-2</v>
      </c>
      <c r="H54" s="2">
        <v>2.98E-2</v>
      </c>
      <c r="I54" s="2">
        <v>-3.8999999999999998E-3</v>
      </c>
      <c r="J54" s="2">
        <v>-3.0499999999999999E-2</v>
      </c>
    </row>
    <row r="55" spans="1:10">
      <c r="A55" t="s">
        <v>329</v>
      </c>
      <c r="B55" t="s">
        <v>107</v>
      </c>
      <c r="C55">
        <v>0.04</v>
      </c>
      <c r="D55">
        <v>0.39</v>
      </c>
      <c r="E55">
        <v>0.42</v>
      </c>
      <c r="F55">
        <v>0.14000000000000001</v>
      </c>
      <c r="G55" s="2">
        <v>2.64E-2</v>
      </c>
      <c r="H55" s="2">
        <v>3.5999999999999999E-3</v>
      </c>
      <c r="I55" s="2">
        <v>4.5999999999999999E-3</v>
      </c>
      <c r="J55" s="2">
        <v>2.0799999999999999E-2</v>
      </c>
    </row>
    <row r="56" spans="1:10">
      <c r="A56" t="s">
        <v>330</v>
      </c>
      <c r="B56" t="s">
        <v>109</v>
      </c>
      <c r="C56">
        <v>7.0000000000000007E-2</v>
      </c>
      <c r="D56">
        <v>0.35</v>
      </c>
      <c r="E56">
        <v>0.38</v>
      </c>
      <c r="F56">
        <v>0.27</v>
      </c>
      <c r="G56" s="2">
        <v>2.2499999999999999E-2</v>
      </c>
      <c r="H56" s="2">
        <v>1.3599999999999999E-2</v>
      </c>
      <c r="I56" s="2">
        <v>8.9999999999999998E-4</v>
      </c>
      <c r="J56" s="2">
        <v>1.21E-2</v>
      </c>
    </row>
    <row r="57" spans="1:10">
      <c r="A57" t="s">
        <v>361</v>
      </c>
      <c r="B57" t="s">
        <v>111</v>
      </c>
      <c r="C57">
        <v>0.77</v>
      </c>
      <c r="D57">
        <v>1.25</v>
      </c>
      <c r="E57">
        <v>0.94</v>
      </c>
      <c r="F57">
        <v>0.68</v>
      </c>
      <c r="G57" s="2">
        <v>8.0999999999999996E-3</v>
      </c>
      <c r="H57" s="2">
        <v>3.8E-3</v>
      </c>
      <c r="I57" s="2">
        <v>1.01E-2</v>
      </c>
      <c r="J57" s="2">
        <v>-1.4E-3</v>
      </c>
    </row>
    <row r="58" spans="1:10">
      <c r="A58" t="s">
        <v>303</v>
      </c>
      <c r="B58" t="s">
        <v>112</v>
      </c>
      <c r="C58">
        <v>0.17</v>
      </c>
      <c r="D58">
        <v>0.51</v>
      </c>
      <c r="E58">
        <v>0.47</v>
      </c>
      <c r="F58">
        <v>0.47</v>
      </c>
      <c r="G58" s="2">
        <v>5.5999999999999999E-3</v>
      </c>
      <c r="H58" s="2">
        <v>2.35E-2</v>
      </c>
      <c r="I58" s="2">
        <v>2.8E-3</v>
      </c>
      <c r="J58" s="2">
        <v>-1.3100000000000001E-2</v>
      </c>
    </row>
    <row r="59" spans="1:10">
      <c r="A59" t="s">
        <v>281</v>
      </c>
      <c r="B59" t="s">
        <v>113</v>
      </c>
      <c r="C59">
        <v>0.03</v>
      </c>
      <c r="D59">
        <v>0.79</v>
      </c>
      <c r="E59">
        <v>0.25</v>
      </c>
      <c r="F59">
        <v>0.1</v>
      </c>
      <c r="G59" s="2">
        <v>7.9000000000000008E-3</v>
      </c>
      <c r="H59" s="2">
        <v>1.8200000000000001E-2</v>
      </c>
      <c r="I59" s="2">
        <v>-6.4000000000000003E-3</v>
      </c>
      <c r="J59" s="2">
        <v>-8.9999999999999998E-4</v>
      </c>
    </row>
    <row r="60" spans="1:10">
      <c r="A60" t="s">
        <v>351</v>
      </c>
      <c r="B60" t="s">
        <v>115</v>
      </c>
      <c r="C60">
        <v>0.85</v>
      </c>
      <c r="D60">
        <v>1.49</v>
      </c>
      <c r="E60">
        <v>0.73</v>
      </c>
      <c r="F60">
        <v>0.79</v>
      </c>
      <c r="G60" s="2">
        <v>2.8000000000000001E-2</v>
      </c>
      <c r="H60" s="2">
        <v>1.8E-3</v>
      </c>
      <c r="I60" s="2">
        <v>2.35E-2</v>
      </c>
      <c r="J60" s="2">
        <v>1.0999999999999999E-2</v>
      </c>
    </row>
    <row r="61" spans="1:10">
      <c r="A61" t="s">
        <v>350</v>
      </c>
      <c r="B61" t="s">
        <v>110</v>
      </c>
      <c r="C61">
        <v>0.85</v>
      </c>
      <c r="D61">
        <v>1.28</v>
      </c>
      <c r="E61">
        <v>0.61</v>
      </c>
      <c r="F61">
        <v>0.98</v>
      </c>
      <c r="G61" s="2">
        <v>2.0500000000000001E-2</v>
      </c>
      <c r="H61" s="2">
        <v>6.7999999999999996E-3</v>
      </c>
      <c r="I61" s="2">
        <v>1.4500000000000001E-2</v>
      </c>
      <c r="J61" s="2">
        <v>5.8999999999999999E-3</v>
      </c>
    </row>
    <row r="62" spans="1:10">
      <c r="A62" t="s">
        <v>331</v>
      </c>
      <c r="B62" t="s">
        <v>117</v>
      </c>
      <c r="C62">
        <v>0.13</v>
      </c>
      <c r="D62">
        <v>0.48</v>
      </c>
      <c r="E62">
        <v>0.38</v>
      </c>
      <c r="F62">
        <v>0.4</v>
      </c>
      <c r="G62" s="2">
        <v>2.9600000000000001E-2</v>
      </c>
      <c r="H62" s="2">
        <v>-3.0999999999999999E-3</v>
      </c>
      <c r="I62" s="2">
        <v>7.6E-3</v>
      </c>
      <c r="J62" s="2">
        <v>2.6800000000000001E-2</v>
      </c>
    </row>
    <row r="63" spans="1:10">
      <c r="A63" t="s">
        <v>304</v>
      </c>
      <c r="B63" t="s">
        <v>118</v>
      </c>
      <c r="C63">
        <v>0.3</v>
      </c>
      <c r="D63">
        <v>0.57999999999999996</v>
      </c>
      <c r="E63">
        <v>0.62</v>
      </c>
      <c r="F63">
        <v>0.6</v>
      </c>
      <c r="G63" s="2">
        <v>0.03</v>
      </c>
      <c r="H63" s="2">
        <v>1.4500000000000001E-2</v>
      </c>
      <c r="I63" s="2">
        <v>6.1999999999999998E-3</v>
      </c>
      <c r="J63" s="2">
        <v>1.55E-2</v>
      </c>
    </row>
    <row r="64" spans="1:10">
      <c r="A64" t="s">
        <v>315</v>
      </c>
      <c r="B64" t="s">
        <v>121</v>
      </c>
      <c r="C64">
        <v>0.24</v>
      </c>
      <c r="D64">
        <v>0.7</v>
      </c>
      <c r="E64">
        <v>0.54</v>
      </c>
      <c r="F64">
        <v>0.47</v>
      </c>
      <c r="G64" s="2">
        <v>1.0200000000000001E-2</v>
      </c>
      <c r="H64" s="2">
        <v>1.4500000000000001E-2</v>
      </c>
      <c r="I64" s="2">
        <v>1.0500000000000001E-2</v>
      </c>
      <c r="J64" s="2">
        <v>-7.1999999999999998E-3</v>
      </c>
    </row>
    <row r="65" spans="1:10">
      <c r="A65" t="s">
        <v>332</v>
      </c>
      <c r="B65" t="s">
        <v>122</v>
      </c>
      <c r="C65">
        <v>0.13</v>
      </c>
      <c r="D65">
        <v>0.53</v>
      </c>
      <c r="E65">
        <v>0.66</v>
      </c>
      <c r="F65">
        <v>0.26</v>
      </c>
      <c r="G65" s="2">
        <v>1.41E-2</v>
      </c>
      <c r="H65" s="2">
        <v>2.18E-2</v>
      </c>
      <c r="I65" s="2">
        <v>7.6E-3</v>
      </c>
      <c r="J65" s="2">
        <v>-6.4999999999999997E-3</v>
      </c>
    </row>
    <row r="66" spans="1:10">
      <c r="A66" t="s">
        <v>362</v>
      </c>
      <c r="B66" t="s">
        <v>119</v>
      </c>
      <c r="C66">
        <v>0.1</v>
      </c>
      <c r="D66">
        <v>1.08</v>
      </c>
      <c r="E66">
        <v>0.26</v>
      </c>
      <c r="F66">
        <v>0.23</v>
      </c>
      <c r="G66" s="2">
        <v>1.5900000000000001E-2</v>
      </c>
      <c r="H66" s="2">
        <v>2.7699999999999999E-2</v>
      </c>
      <c r="I66" s="2">
        <v>-5.4000000000000003E-3</v>
      </c>
      <c r="J66" s="2">
        <v>-2.9999999999999997E-4</v>
      </c>
    </row>
    <row r="67" spans="1:10">
      <c r="A67" t="s">
        <v>352</v>
      </c>
      <c r="B67" t="s">
        <v>124</v>
      </c>
      <c r="C67">
        <v>0.34</v>
      </c>
      <c r="D67">
        <v>1.21</v>
      </c>
      <c r="E67">
        <v>0.34</v>
      </c>
      <c r="F67">
        <v>0.6</v>
      </c>
      <c r="G67" s="2">
        <v>3.4000000000000002E-2</v>
      </c>
      <c r="H67" s="2">
        <v>9.2999999999999992E-3</v>
      </c>
      <c r="I67" s="2">
        <v>8.3000000000000001E-3</v>
      </c>
      <c r="J67" s="2">
        <v>2.18E-2</v>
      </c>
    </row>
    <row r="68" spans="1:10">
      <c r="A68" t="s">
        <v>314</v>
      </c>
      <c r="B68" t="s">
        <v>120</v>
      </c>
      <c r="C68">
        <v>0.18</v>
      </c>
      <c r="D68">
        <v>0.42</v>
      </c>
      <c r="E68">
        <v>0.57999999999999996</v>
      </c>
      <c r="F68">
        <v>0.5</v>
      </c>
      <c r="G68" s="2">
        <v>2.23E-2</v>
      </c>
      <c r="H68" s="2">
        <v>2.1000000000000001E-2</v>
      </c>
      <c r="I68" s="2">
        <v>8.9999999999999998E-4</v>
      </c>
      <c r="J68" s="2">
        <v>6.7000000000000002E-3</v>
      </c>
    </row>
    <row r="69" spans="1:10">
      <c r="A69" t="s">
        <v>282</v>
      </c>
      <c r="B69" t="s">
        <v>127</v>
      </c>
      <c r="C69">
        <v>0.05</v>
      </c>
      <c r="D69">
        <v>0.18</v>
      </c>
      <c r="E69">
        <v>0.55000000000000004</v>
      </c>
      <c r="F69">
        <v>0.23</v>
      </c>
      <c r="G69" s="2">
        <v>1.89E-2</v>
      </c>
      <c r="H69" s="2">
        <v>1.7000000000000001E-2</v>
      </c>
      <c r="I69" s="2">
        <v>-2.0000000000000001E-4</v>
      </c>
      <c r="J69" s="2">
        <v>6.7999999999999996E-3</v>
      </c>
    </row>
    <row r="70" spans="1:10">
      <c r="A70" t="s">
        <v>284</v>
      </c>
      <c r="B70" t="s">
        <v>137</v>
      </c>
      <c r="C70">
        <v>0.28999999999999998</v>
      </c>
      <c r="D70">
        <v>0.84</v>
      </c>
      <c r="E70">
        <v>0.45</v>
      </c>
      <c r="F70">
        <v>0.56999999999999995</v>
      </c>
      <c r="G70" s="2">
        <v>1.8200000000000001E-2</v>
      </c>
      <c r="H70" s="2">
        <v>1.23E-2</v>
      </c>
      <c r="I70" s="2">
        <v>1.1999999999999999E-3</v>
      </c>
      <c r="J70" s="2">
        <v>8.6E-3</v>
      </c>
    </row>
    <row r="71" spans="1:10">
      <c r="A71" t="s">
        <v>283</v>
      </c>
      <c r="B71" t="s">
        <v>129</v>
      </c>
      <c r="C71">
        <v>0.08</v>
      </c>
      <c r="D71">
        <v>0.38</v>
      </c>
      <c r="E71">
        <v>0.45</v>
      </c>
      <c r="F71">
        <v>0.27</v>
      </c>
      <c r="G71" s="2">
        <v>8.6999999999999994E-3</v>
      </c>
      <c r="H71" s="2">
        <v>-6.4000000000000003E-3</v>
      </c>
      <c r="I71" s="2">
        <v>6.1999999999999998E-3</v>
      </c>
      <c r="J71" s="2">
        <v>9.1999999999999998E-3</v>
      </c>
    </row>
    <row r="72" spans="1:10">
      <c r="A72" t="s">
        <v>333</v>
      </c>
      <c r="B72" t="s">
        <v>133</v>
      </c>
      <c r="C72">
        <v>0.53</v>
      </c>
      <c r="D72">
        <v>0.93</v>
      </c>
      <c r="E72">
        <v>0.41</v>
      </c>
      <c r="F72">
        <v>1.03</v>
      </c>
      <c r="G72" s="2">
        <v>5.11E-2</v>
      </c>
      <c r="H72" s="2">
        <v>2.4E-2</v>
      </c>
      <c r="I72" s="2">
        <v>1.6000000000000001E-3</v>
      </c>
      <c r="J72" s="2">
        <v>3.2899999999999999E-2</v>
      </c>
    </row>
    <row r="73" spans="1:10">
      <c r="A73" t="s">
        <v>353</v>
      </c>
      <c r="B73" t="s">
        <v>138</v>
      </c>
      <c r="C73">
        <v>0.63</v>
      </c>
      <c r="D73">
        <v>1.28</v>
      </c>
      <c r="E73">
        <v>0.42</v>
      </c>
      <c r="F73">
        <v>0.93</v>
      </c>
      <c r="G73" s="2">
        <v>3.7999999999999999E-2</v>
      </c>
      <c r="H73" s="2">
        <v>1.9099999999999999E-2</v>
      </c>
      <c r="I73" s="2">
        <v>7.1000000000000004E-3</v>
      </c>
      <c r="J73" s="2">
        <v>1.9599999999999999E-2</v>
      </c>
    </row>
    <row r="74" spans="1:10">
      <c r="A74" t="s">
        <v>334</v>
      </c>
      <c r="B74" t="s">
        <v>139</v>
      </c>
      <c r="C74">
        <v>0.17</v>
      </c>
      <c r="D74">
        <v>0.35</v>
      </c>
      <c r="E74">
        <v>0.69</v>
      </c>
      <c r="F74">
        <v>0.45</v>
      </c>
      <c r="G74" s="2">
        <v>1.8700000000000001E-2</v>
      </c>
      <c r="H74" s="2">
        <v>6.3E-3</v>
      </c>
      <c r="I74" s="2">
        <v>8.3999999999999995E-3</v>
      </c>
      <c r="J74" s="2">
        <v>8.5000000000000006E-3</v>
      </c>
    </row>
    <row r="75" spans="1:10">
      <c r="A75" t="s">
        <v>285</v>
      </c>
      <c r="B75" t="s">
        <v>142</v>
      </c>
      <c r="C75">
        <v>0.15</v>
      </c>
      <c r="D75">
        <v>0.53</v>
      </c>
      <c r="E75">
        <v>0.47</v>
      </c>
      <c r="F75">
        <v>0.41</v>
      </c>
      <c r="G75" s="2">
        <v>2.9600000000000001E-2</v>
      </c>
      <c r="H75" s="2">
        <v>2.87E-2</v>
      </c>
      <c r="I75" s="2">
        <v>3.5000000000000001E-3</v>
      </c>
      <c r="J75" s="2">
        <v>6.7000000000000002E-3</v>
      </c>
    </row>
    <row r="76" spans="1:10">
      <c r="A76" t="s">
        <v>354</v>
      </c>
      <c r="B76" t="s">
        <v>143</v>
      </c>
      <c r="C76">
        <v>0.78</v>
      </c>
      <c r="D76">
        <v>1.54</v>
      </c>
      <c r="E76">
        <v>0.65</v>
      </c>
      <c r="F76">
        <v>0.77</v>
      </c>
      <c r="G76" s="2">
        <v>1.6899999999999998E-2</v>
      </c>
      <c r="H76" s="2">
        <v>5.7000000000000002E-3</v>
      </c>
      <c r="I76" s="2">
        <v>7.7000000000000002E-3</v>
      </c>
      <c r="J76" s="2">
        <v>7.7000000000000002E-3</v>
      </c>
    </row>
    <row r="77" spans="1:10">
      <c r="A77" t="s">
        <v>355</v>
      </c>
      <c r="B77" t="s">
        <v>144</v>
      </c>
      <c r="C77">
        <v>0.88</v>
      </c>
      <c r="D77">
        <v>2.0299999999999998</v>
      </c>
      <c r="E77">
        <v>0.55000000000000004</v>
      </c>
      <c r="F77">
        <v>0.8</v>
      </c>
      <c r="G77" s="2">
        <v>1.5699999999999999E-2</v>
      </c>
      <c r="H77" s="2">
        <v>1.03E-2</v>
      </c>
      <c r="I77" s="2">
        <v>8.6E-3</v>
      </c>
      <c r="J77" s="2">
        <v>2.5999999999999999E-3</v>
      </c>
    </row>
    <row r="78" spans="1:10">
      <c r="A78" t="s">
        <v>335</v>
      </c>
      <c r="B78" t="s">
        <v>145</v>
      </c>
      <c r="C78">
        <v>0.51</v>
      </c>
      <c r="D78">
        <v>0.37</v>
      </c>
      <c r="E78">
        <v>0.56000000000000005</v>
      </c>
      <c r="F78">
        <v>1.52</v>
      </c>
      <c r="G78" s="2">
        <v>4.4200000000000003E-2</v>
      </c>
      <c r="H78" s="2">
        <v>9.7000000000000003E-3</v>
      </c>
      <c r="I78" s="2">
        <v>1.35E-2</v>
      </c>
      <c r="J78" s="2">
        <v>2.8299999999999999E-2</v>
      </c>
    </row>
    <row r="79" spans="1:10">
      <c r="A79" t="s">
        <v>336</v>
      </c>
      <c r="B79" t="s">
        <v>146</v>
      </c>
      <c r="C79">
        <v>0.38</v>
      </c>
      <c r="D79">
        <v>0.51</v>
      </c>
      <c r="E79">
        <v>0.73</v>
      </c>
      <c r="F79">
        <v>0.75</v>
      </c>
      <c r="G79" s="2">
        <v>5.2999999999999999E-2</v>
      </c>
      <c r="H79" s="2">
        <v>1.7600000000000001E-2</v>
      </c>
      <c r="I79" s="2">
        <v>1.52E-2</v>
      </c>
      <c r="J79" s="2">
        <v>3.0300000000000001E-2</v>
      </c>
    </row>
    <row r="80" spans="1:10">
      <c r="A80" t="s">
        <v>286</v>
      </c>
      <c r="B80" t="s">
        <v>148</v>
      </c>
      <c r="C80">
        <v>0.03</v>
      </c>
      <c r="D80">
        <v>0.59</v>
      </c>
      <c r="E80">
        <v>0.37</v>
      </c>
      <c r="F80">
        <v>0.08</v>
      </c>
      <c r="G80" s="2">
        <v>2.0799999999999999E-2</v>
      </c>
      <c r="H80" s="2">
        <v>1.7999999999999999E-2</v>
      </c>
      <c r="I80" s="2">
        <v>5.0000000000000001E-4</v>
      </c>
      <c r="J80" s="2">
        <v>7.7000000000000002E-3</v>
      </c>
    </row>
    <row r="81" spans="1:10">
      <c r="A81" t="s">
        <v>337</v>
      </c>
      <c r="B81" t="s">
        <v>149</v>
      </c>
      <c r="C81">
        <v>0.14000000000000001</v>
      </c>
      <c r="D81">
        <v>0.53</v>
      </c>
      <c r="E81">
        <v>0.55000000000000004</v>
      </c>
      <c r="F81">
        <v>0.33</v>
      </c>
      <c r="G81" s="2">
        <v>3.6999999999999998E-2</v>
      </c>
      <c r="H81" s="2">
        <v>8.6999999999999994E-3</v>
      </c>
      <c r="I81" s="2">
        <v>6.1999999999999998E-3</v>
      </c>
      <c r="J81" s="2">
        <v>2.6599999999999999E-2</v>
      </c>
    </row>
    <row r="82" spans="1:10">
      <c r="A82" t="s">
        <v>287</v>
      </c>
      <c r="B82" t="s">
        <v>150</v>
      </c>
      <c r="C82">
        <v>0.04</v>
      </c>
      <c r="D82">
        <v>0.76</v>
      </c>
      <c r="E82">
        <v>0.32</v>
      </c>
      <c r="F82">
        <v>0.12</v>
      </c>
      <c r="G82" s="2">
        <v>2.5999999999999999E-2</v>
      </c>
      <c r="H82" s="2">
        <v>3.0200000000000001E-2</v>
      </c>
      <c r="I82" s="2">
        <v>2.8E-3</v>
      </c>
      <c r="J82" s="2">
        <v>2.5999999999999999E-3</v>
      </c>
    </row>
    <row r="83" spans="1:10">
      <c r="A83" t="s">
        <v>288</v>
      </c>
      <c r="B83" t="s">
        <v>151</v>
      </c>
      <c r="C83">
        <v>0.26</v>
      </c>
      <c r="D83">
        <v>0.46</v>
      </c>
      <c r="E83">
        <v>0.42</v>
      </c>
      <c r="F83">
        <v>0.81</v>
      </c>
      <c r="G83" s="2">
        <v>3.2199999999999999E-2</v>
      </c>
      <c r="H83" s="2">
        <v>-9.4000000000000004E-3</v>
      </c>
      <c r="I83" s="2">
        <v>1.35E-2</v>
      </c>
      <c r="J83" s="2">
        <v>2.9899999999999999E-2</v>
      </c>
    </row>
    <row r="84" spans="1:10">
      <c r="A84" t="s">
        <v>356</v>
      </c>
      <c r="B84" t="s">
        <v>152</v>
      </c>
      <c r="C84">
        <v>0.21</v>
      </c>
      <c r="D84">
        <v>0.79</v>
      </c>
      <c r="E84">
        <v>0.37</v>
      </c>
      <c r="F84">
        <v>0.48</v>
      </c>
      <c r="G84" s="2">
        <v>3.1899999999999998E-2</v>
      </c>
      <c r="H84" s="2">
        <v>1.23E-2</v>
      </c>
      <c r="I84" s="2">
        <v>4.1000000000000003E-3</v>
      </c>
      <c r="J84" s="2">
        <v>2.0400000000000001E-2</v>
      </c>
    </row>
    <row r="85" spans="1:10">
      <c r="A85" t="s">
        <v>289</v>
      </c>
      <c r="B85" t="s">
        <v>155</v>
      </c>
      <c r="C85">
        <v>0.04</v>
      </c>
      <c r="D85">
        <v>0.19</v>
      </c>
      <c r="E85">
        <v>0.56999999999999995</v>
      </c>
      <c r="F85">
        <v>0.17</v>
      </c>
      <c r="G85" s="2">
        <v>5.9999999999999995E-4</v>
      </c>
      <c r="H85" s="2">
        <v>9.5999999999999992E-3</v>
      </c>
      <c r="I85" s="2">
        <v>1.6999999999999999E-3</v>
      </c>
      <c r="J85" s="2">
        <v>-7.4000000000000003E-3</v>
      </c>
    </row>
    <row r="86" spans="1:10">
      <c r="A86" t="s">
        <v>357</v>
      </c>
      <c r="B86" t="s">
        <v>157</v>
      </c>
      <c r="C86">
        <v>0.68</v>
      </c>
      <c r="D86">
        <v>1.23</v>
      </c>
      <c r="E86">
        <v>0.64</v>
      </c>
      <c r="F86">
        <v>0.79</v>
      </c>
      <c r="G86" s="2">
        <v>1.77E-2</v>
      </c>
      <c r="H86" s="2">
        <v>2.0999999999999999E-3</v>
      </c>
      <c r="I86" s="2">
        <v>3.8E-3</v>
      </c>
      <c r="J86" s="2">
        <v>1.37E-2</v>
      </c>
    </row>
    <row r="87" spans="1:10">
      <c r="A87" t="s">
        <v>316</v>
      </c>
      <c r="B87" t="s">
        <v>159</v>
      </c>
      <c r="C87">
        <v>0.3</v>
      </c>
      <c r="D87">
        <v>1.22</v>
      </c>
      <c r="E87">
        <v>0.48</v>
      </c>
      <c r="F87">
        <v>0.43</v>
      </c>
      <c r="G87" s="2">
        <v>1.6999999999999999E-3</v>
      </c>
      <c r="H87" s="2">
        <v>1.34E-2</v>
      </c>
      <c r="I87" s="2">
        <v>8.6999999999999994E-3</v>
      </c>
      <c r="J87" s="2">
        <v>-1.3599999999999999E-2</v>
      </c>
    </row>
    <row r="88" spans="1:10">
      <c r="A88" t="s">
        <v>306</v>
      </c>
      <c r="B88" t="s">
        <v>158</v>
      </c>
      <c r="C88">
        <v>1</v>
      </c>
      <c r="D88">
        <v>1</v>
      </c>
      <c r="E88">
        <v>1</v>
      </c>
      <c r="F88">
        <v>1</v>
      </c>
      <c r="G88" s="2">
        <v>1.2999999999999999E-2</v>
      </c>
      <c r="H88" s="2">
        <v>5.5999999999999999E-3</v>
      </c>
      <c r="I88" s="2">
        <v>1.2699999999999999E-2</v>
      </c>
      <c r="J88" s="2">
        <v>4.0000000000000002E-4</v>
      </c>
    </row>
    <row r="89" spans="1:10">
      <c r="A89" t="s">
        <v>317</v>
      </c>
      <c r="B89" t="s">
        <v>161</v>
      </c>
      <c r="C89">
        <v>0.54</v>
      </c>
      <c r="D89">
        <v>0.74</v>
      </c>
      <c r="E89">
        <v>0.49</v>
      </c>
      <c r="F89">
        <v>1.07</v>
      </c>
      <c r="G89" s="2">
        <v>-4.3E-3</v>
      </c>
      <c r="H89" s="2">
        <v>2.46E-2</v>
      </c>
      <c r="I89" s="2">
        <v>8.2000000000000007E-3</v>
      </c>
      <c r="J89" s="2">
        <v>-2.7400000000000001E-2</v>
      </c>
    </row>
    <row r="90" spans="1:10">
      <c r="A90" t="s">
        <v>358</v>
      </c>
      <c r="B90" t="s">
        <v>166</v>
      </c>
      <c r="C90">
        <v>0.34</v>
      </c>
      <c r="D90">
        <v>1.52</v>
      </c>
      <c r="E90">
        <v>0.48</v>
      </c>
      <c r="F90">
        <v>0.41</v>
      </c>
      <c r="G90" s="2">
        <v>3.9699999999999999E-2</v>
      </c>
      <c r="H90" s="2">
        <v>1.44E-2</v>
      </c>
      <c r="I90" s="2">
        <v>1.2500000000000001E-2</v>
      </c>
      <c r="J90" s="2">
        <v>2.1100000000000001E-2</v>
      </c>
    </row>
    <row r="91" spans="1:10">
      <c r="A91" t="s">
        <v>290</v>
      </c>
      <c r="B91" t="s">
        <v>167</v>
      </c>
      <c r="C91">
        <v>0.03</v>
      </c>
      <c r="D91">
        <v>0.24</v>
      </c>
      <c r="E91">
        <v>0.54</v>
      </c>
      <c r="F91">
        <v>0.14000000000000001</v>
      </c>
      <c r="G91" s="2">
        <v>4.1999999999999997E-3</v>
      </c>
      <c r="H91" s="2">
        <v>4.19E-2</v>
      </c>
      <c r="I91" s="2">
        <v>-1.9E-3</v>
      </c>
      <c r="J91" s="2">
        <v>-2.4500000000000001E-2</v>
      </c>
    </row>
    <row r="92" spans="1:10">
      <c r="A92" t="s">
        <v>291</v>
      </c>
      <c r="B92" t="s">
        <v>168</v>
      </c>
      <c r="C92">
        <v>7.0000000000000007E-2</v>
      </c>
      <c r="D92">
        <v>1.31</v>
      </c>
      <c r="E92">
        <v>0.34</v>
      </c>
      <c r="F92">
        <v>0.12</v>
      </c>
      <c r="G92" s="2">
        <v>-4.1999999999999997E-3</v>
      </c>
      <c r="H92" s="2">
        <v>-6.9999999999999999E-4</v>
      </c>
      <c r="I92" s="2">
        <v>1.43E-2</v>
      </c>
      <c r="J92" s="2">
        <v>-1.32E-2</v>
      </c>
    </row>
    <row r="93" spans="1:10">
      <c r="A93" t="s">
        <v>292</v>
      </c>
      <c r="B93" t="s">
        <v>169</v>
      </c>
      <c r="C93">
        <v>0.1</v>
      </c>
      <c r="D93">
        <v>0.61</v>
      </c>
      <c r="E93">
        <v>0.38</v>
      </c>
      <c r="F93">
        <v>0.26</v>
      </c>
      <c r="G93" s="2">
        <v>1.4999999999999999E-2</v>
      </c>
      <c r="H93" s="2">
        <v>-9.5999999999999992E-3</v>
      </c>
      <c r="I93" s="2">
        <v>7.4000000000000003E-3</v>
      </c>
      <c r="J93" s="2">
        <v>1.7000000000000001E-2</v>
      </c>
    </row>
    <row r="94" spans="1:10">
      <c r="A94" t="s">
        <v>293</v>
      </c>
      <c r="B94" t="e">
        <f>NA()</f>
        <v>#N/A</v>
      </c>
      <c r="C94">
        <v>0.36</v>
      </c>
      <c r="D94">
        <v>0.51</v>
      </c>
      <c r="E94">
        <v>0.77</v>
      </c>
      <c r="F94">
        <v>0.7</v>
      </c>
      <c r="G94" s="2">
        <v>2.3900000000000001E-2</v>
      </c>
      <c r="H94" s="2">
        <v>1.55E-2</v>
      </c>
      <c r="I94" s="2">
        <v>4.5999999999999999E-3</v>
      </c>
      <c r="J94" s="2">
        <v>9.7000000000000003E-3</v>
      </c>
    </row>
    <row r="95" spans="1:10">
      <c r="A95" t="s">
        <v>340</v>
      </c>
      <c r="B95" t="e">
        <f>NA()</f>
        <v>#N/A</v>
      </c>
      <c r="C95">
        <v>0.41</v>
      </c>
      <c r="D95">
        <v>1.1100000000000001</v>
      </c>
      <c r="E95">
        <v>0.54</v>
      </c>
      <c r="F95">
        <v>0.57999999999999996</v>
      </c>
      <c r="G95" s="2">
        <v>4.1200000000000001E-2</v>
      </c>
      <c r="H95" s="2">
        <v>4.8999999999999998E-3</v>
      </c>
      <c r="I95" s="2">
        <v>1.3299999999999999E-2</v>
      </c>
      <c r="J95" s="2">
        <v>2.8799999999999999E-2</v>
      </c>
    </row>
    <row r="96" spans="1:10">
      <c r="A96" t="s">
        <v>360</v>
      </c>
      <c r="B96" t="e">
        <f>NA()</f>
        <v>#N/A</v>
      </c>
      <c r="C96">
        <v>0.28999999999999998</v>
      </c>
      <c r="D96">
        <v>0.68</v>
      </c>
      <c r="E96">
        <v>0.61</v>
      </c>
      <c r="F96">
        <v>0.53</v>
      </c>
      <c r="G96" s="2">
        <v>1.03E-2</v>
      </c>
      <c r="H96" s="2">
        <v>2.5000000000000001E-3</v>
      </c>
      <c r="I96" s="2">
        <v>8.6E-3</v>
      </c>
      <c r="J96" s="2">
        <v>2.8E-3</v>
      </c>
    </row>
    <row r="97" spans="1:10">
      <c r="A97" t="s">
        <v>301</v>
      </c>
      <c r="B97" t="e">
        <f>NA()</f>
        <v>#N/A</v>
      </c>
      <c r="C97">
        <v>0.14000000000000001</v>
      </c>
      <c r="D97">
        <v>0.93</v>
      </c>
      <c r="E97">
        <v>0.39</v>
      </c>
      <c r="F97">
        <v>0.28000000000000003</v>
      </c>
      <c r="G97" s="2">
        <v>3.3999999999999998E-3</v>
      </c>
      <c r="H97" s="2">
        <v>1.23E-2</v>
      </c>
      <c r="I97" s="2">
        <v>5.5999999999999999E-3</v>
      </c>
      <c r="J97" s="2">
        <v>-9.1000000000000004E-3</v>
      </c>
    </row>
    <row r="98" spans="1:10">
      <c r="A98" t="s">
        <v>349</v>
      </c>
      <c r="B98" t="e">
        <f>NA()</f>
        <v>#N/A</v>
      </c>
      <c r="C98">
        <v>0.46</v>
      </c>
      <c r="D98">
        <v>0.95</v>
      </c>
      <c r="E98">
        <v>0.56000000000000005</v>
      </c>
      <c r="F98">
        <v>0.7</v>
      </c>
      <c r="G98" s="2">
        <v>4.7100000000000003E-2</v>
      </c>
      <c r="H98" s="2">
        <v>-1.0800000000000001E-2</v>
      </c>
      <c r="I98" s="2">
        <v>1.18E-2</v>
      </c>
      <c r="J98" s="2">
        <v>4.6899999999999997E-2</v>
      </c>
    </row>
    <row r="99" spans="1:10">
      <c r="A99" t="s">
        <v>305</v>
      </c>
      <c r="B99" t="e">
        <f>NA()</f>
        <v>#N/A</v>
      </c>
      <c r="C99">
        <v>0.76</v>
      </c>
      <c r="D99">
        <v>0.54</v>
      </c>
      <c r="E99">
        <v>0.66</v>
      </c>
      <c r="F99">
        <v>1.55</v>
      </c>
      <c r="G99" s="2">
        <v>1.6500000000000001E-2</v>
      </c>
      <c r="H99" s="2">
        <v>1.5699999999999999E-2</v>
      </c>
      <c r="I99" s="2">
        <v>5.1999999999999998E-3</v>
      </c>
      <c r="J99" s="2">
        <v>1.8E-3</v>
      </c>
    </row>
    <row r="101" spans="1:10">
      <c r="A101" t="s">
        <v>252</v>
      </c>
    </row>
    <row r="102" spans="1:10">
      <c r="A102" t="s">
        <v>253</v>
      </c>
    </row>
    <row r="103" spans="1:10">
      <c r="A103" t="s">
        <v>254</v>
      </c>
    </row>
    <row r="104" spans="1:10">
      <c r="A104" t="s">
        <v>255</v>
      </c>
    </row>
    <row r="105" spans="1:10">
      <c r="A105" t="s">
        <v>256</v>
      </c>
    </row>
  </sheetData>
  <phoneticPr fontId="1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6" enableFormatConditionsCalculation="0">
    <tabColor indexed="8"/>
  </sheetPr>
  <dimension ref="A1:F16"/>
  <sheetViews>
    <sheetView workbookViewId="0">
      <selection activeCell="F1" sqref="F1"/>
    </sheetView>
  </sheetViews>
  <sheetFormatPr defaultRowHeight="12.75"/>
  <sheetData>
    <row r="1" spans="1:6">
      <c r="A1">
        <v>1</v>
      </c>
      <c r="B1" t="s">
        <v>180</v>
      </c>
      <c r="E1" s="12">
        <v>10</v>
      </c>
      <c r="F1" t="str">
        <f>VLOOKUP(E1,$A$1:$B$15,2)</f>
        <v>Aviation - Freight</v>
      </c>
    </row>
    <row r="2" spans="1:6">
      <c r="A2">
        <v>2</v>
      </c>
      <c r="B2" t="s">
        <v>187</v>
      </c>
      <c r="E2" s="12">
        <v>11</v>
      </c>
      <c r="F2" t="str">
        <f t="shared" ref="F2:F15" si="0">VLOOKUP(E2,$A$1:$B$15,2)</f>
        <v>Aviation - Passengers</v>
      </c>
    </row>
    <row r="3" spans="1:6">
      <c r="A3">
        <v>3</v>
      </c>
      <c r="B3" t="s">
        <v>186</v>
      </c>
      <c r="E3" s="12">
        <v>1</v>
      </c>
      <c r="F3" t="str">
        <f t="shared" si="0"/>
        <v>Cars</v>
      </c>
    </row>
    <row r="4" spans="1:6">
      <c r="A4">
        <v>4</v>
      </c>
      <c r="B4" t="s">
        <v>181</v>
      </c>
      <c r="E4" s="12">
        <v>12</v>
      </c>
      <c r="F4" t="str">
        <f t="shared" si="0"/>
        <v>Cellphones</v>
      </c>
    </row>
    <row r="5" spans="1:6">
      <c r="A5">
        <v>5</v>
      </c>
      <c r="B5" t="s">
        <v>185</v>
      </c>
      <c r="E5" s="12">
        <v>3</v>
      </c>
      <c r="F5" t="str">
        <f t="shared" si="0"/>
        <v>Electricity</v>
      </c>
    </row>
    <row r="6" spans="1:6">
      <c r="A6">
        <v>6</v>
      </c>
      <c r="B6" t="s">
        <v>179</v>
      </c>
      <c r="E6" s="12">
        <v>13</v>
      </c>
      <c r="F6" t="str">
        <f t="shared" si="0"/>
        <v>Internet users</v>
      </c>
    </row>
    <row r="7" spans="1:6">
      <c r="A7">
        <v>7</v>
      </c>
      <c r="B7" t="s">
        <v>178</v>
      </c>
      <c r="E7" s="12">
        <v>14</v>
      </c>
      <c r="F7" t="str">
        <f t="shared" si="0"/>
        <v>MRIs</v>
      </c>
    </row>
    <row r="8" spans="1:6">
      <c r="A8">
        <v>8</v>
      </c>
      <c r="B8" t="s">
        <v>183</v>
      </c>
      <c r="E8" s="12">
        <v>2</v>
      </c>
      <c r="F8" t="str">
        <f t="shared" si="0"/>
        <v>PCs</v>
      </c>
    </row>
    <row r="9" spans="1:6">
      <c r="A9">
        <v>9</v>
      </c>
      <c r="B9" t="s">
        <v>182</v>
      </c>
      <c r="E9" s="12">
        <v>15</v>
      </c>
      <c r="F9" t="str">
        <f t="shared" si="0"/>
        <v>Steam- and motorships</v>
      </c>
    </row>
    <row r="10" spans="1:6">
      <c r="A10">
        <v>10</v>
      </c>
      <c r="B10" t="s">
        <v>177</v>
      </c>
      <c r="E10" s="12">
        <v>8</v>
      </c>
      <c r="F10" t="str">
        <f t="shared" si="0"/>
        <v>Telegraph</v>
      </c>
    </row>
    <row r="11" spans="1:6">
      <c r="A11">
        <v>11</v>
      </c>
      <c r="B11" t="s">
        <v>176</v>
      </c>
      <c r="E11" s="12">
        <v>9</v>
      </c>
      <c r="F11" t="str">
        <f t="shared" si="0"/>
        <v>Telephone</v>
      </c>
    </row>
    <row r="12" spans="1:6">
      <c r="A12">
        <v>12</v>
      </c>
      <c r="B12" t="s">
        <v>216</v>
      </c>
      <c r="E12" s="12">
        <v>4</v>
      </c>
      <c r="F12" t="str">
        <f t="shared" si="0"/>
        <v>Trucks</v>
      </c>
    </row>
    <row r="13" spans="1:6">
      <c r="A13">
        <v>13</v>
      </c>
      <c r="B13" t="s">
        <v>195</v>
      </c>
      <c r="E13" s="12">
        <v>5</v>
      </c>
      <c r="F13" t="str">
        <f t="shared" si="0"/>
        <v>Blast Oxygen Steel</v>
      </c>
    </row>
    <row r="14" spans="1:6">
      <c r="A14">
        <v>14</v>
      </c>
      <c r="B14" t="s">
        <v>741</v>
      </c>
      <c r="E14" s="12">
        <v>6</v>
      </c>
      <c r="F14" t="str">
        <f t="shared" si="0"/>
        <v>Railways - Freight</v>
      </c>
    </row>
    <row r="15" spans="1:6">
      <c r="A15">
        <v>15</v>
      </c>
      <c r="B15" t="s">
        <v>196</v>
      </c>
      <c r="E15" s="12">
        <v>7</v>
      </c>
      <c r="F15" t="str">
        <f t="shared" si="0"/>
        <v>Railways - Passengers</v>
      </c>
    </row>
    <row r="16" spans="1:6">
      <c r="E16" s="12"/>
    </row>
  </sheetData>
  <phoneticPr fontId="1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8"/>
  </sheetPr>
  <dimension ref="A1:E167"/>
  <sheetViews>
    <sheetView topLeftCell="A7" workbookViewId="0">
      <selection activeCell="D29" sqref="D29"/>
    </sheetView>
  </sheetViews>
  <sheetFormatPr defaultRowHeight="12.75"/>
  <cols>
    <col min="3" max="3" width="25.5703125" customWidth="1"/>
    <col min="4" max="4" width="17.28515625" customWidth="1"/>
  </cols>
  <sheetData>
    <row r="1" spans="1:5">
      <c r="A1" t="s">
        <v>173</v>
      </c>
      <c r="B1" t="s">
        <v>3</v>
      </c>
      <c r="C1" t="s">
        <v>4</v>
      </c>
      <c r="D1" t="s">
        <v>202</v>
      </c>
      <c r="E1" t="s">
        <v>212</v>
      </c>
    </row>
    <row r="2" spans="1:5">
      <c r="A2">
        <v>1</v>
      </c>
      <c r="B2" t="s">
        <v>5</v>
      </c>
      <c r="C2" t="s">
        <v>6</v>
      </c>
      <c r="D2" t="s">
        <v>203</v>
      </c>
    </row>
    <row r="3" spans="1:5">
      <c r="A3">
        <v>2</v>
      </c>
      <c r="B3" t="s">
        <v>7</v>
      </c>
      <c r="C3" t="s">
        <v>8</v>
      </c>
      <c r="D3" t="s">
        <v>203</v>
      </c>
    </row>
    <row r="4" spans="1:5">
      <c r="A4">
        <v>3</v>
      </c>
      <c r="B4" t="s">
        <v>9</v>
      </c>
      <c r="C4" t="s">
        <v>364</v>
      </c>
      <c r="D4" t="s">
        <v>203</v>
      </c>
    </row>
    <row r="5" spans="1:5">
      <c r="A5">
        <v>4</v>
      </c>
      <c r="B5" t="s">
        <v>10</v>
      </c>
      <c r="C5" t="s">
        <v>365</v>
      </c>
      <c r="D5" t="s">
        <v>200</v>
      </c>
    </row>
    <row r="6" spans="1:5">
      <c r="A6">
        <v>5</v>
      </c>
      <c r="B6" t="s">
        <v>11</v>
      </c>
      <c r="C6" t="s">
        <v>366</v>
      </c>
      <c r="D6" t="s">
        <v>199</v>
      </c>
    </row>
    <row r="7" spans="1:5">
      <c r="A7">
        <v>6</v>
      </c>
      <c r="B7" t="s">
        <v>12</v>
      </c>
      <c r="C7" t="s">
        <v>367</v>
      </c>
      <c r="D7" t="s">
        <v>203</v>
      </c>
    </row>
    <row r="8" spans="1:5">
      <c r="A8">
        <v>7</v>
      </c>
      <c r="B8" t="s">
        <v>13</v>
      </c>
      <c r="C8" t="s">
        <v>368</v>
      </c>
      <c r="D8" t="s">
        <v>201</v>
      </c>
    </row>
    <row r="9" spans="1:5">
      <c r="A9">
        <v>8</v>
      </c>
      <c r="B9" t="s">
        <v>14</v>
      </c>
      <c r="C9" t="s">
        <v>369</v>
      </c>
      <c r="D9" t="s">
        <v>201</v>
      </c>
    </row>
    <row r="10" spans="1:5">
      <c r="A10">
        <v>10</v>
      </c>
      <c r="B10" t="s">
        <v>15</v>
      </c>
      <c r="C10" t="s">
        <v>370</v>
      </c>
      <c r="D10" t="s">
        <v>203</v>
      </c>
    </row>
    <row r="11" spans="1:5">
      <c r="A11">
        <v>11</v>
      </c>
      <c r="B11" t="s">
        <v>16</v>
      </c>
      <c r="C11" t="s">
        <v>371</v>
      </c>
      <c r="D11" t="s">
        <v>203</v>
      </c>
    </row>
    <row r="12" spans="1:5">
      <c r="A12">
        <v>12</v>
      </c>
      <c r="B12" t="s">
        <v>17</v>
      </c>
      <c r="C12" t="s">
        <v>372</v>
      </c>
      <c r="D12" t="s">
        <v>203</v>
      </c>
    </row>
    <row r="13" spans="1:5">
      <c r="A13">
        <v>13</v>
      </c>
      <c r="B13" t="s">
        <v>18</v>
      </c>
      <c r="C13" t="s">
        <v>373</v>
      </c>
      <c r="D13" t="s">
        <v>201</v>
      </c>
    </row>
    <row r="14" spans="1:5">
      <c r="A14">
        <v>14</v>
      </c>
      <c r="B14" t="s">
        <v>19</v>
      </c>
      <c r="C14" t="s">
        <v>374</v>
      </c>
      <c r="D14" t="s">
        <v>199</v>
      </c>
    </row>
    <row r="15" spans="1:5">
      <c r="A15">
        <v>15</v>
      </c>
      <c r="B15" t="s">
        <v>20</v>
      </c>
      <c r="C15" t="s">
        <v>375</v>
      </c>
      <c r="D15" t="s">
        <v>200</v>
      </c>
    </row>
    <row r="16" spans="1:5">
      <c r="A16">
        <v>16</v>
      </c>
      <c r="B16" t="s">
        <v>21</v>
      </c>
      <c r="C16" t="s">
        <v>376</v>
      </c>
      <c r="D16" t="s">
        <v>199</v>
      </c>
    </row>
    <row r="17" spans="1:4">
      <c r="A17">
        <v>17</v>
      </c>
      <c r="B17" t="s">
        <v>22</v>
      </c>
      <c r="C17" t="s">
        <v>377</v>
      </c>
      <c r="D17" t="s">
        <v>203</v>
      </c>
    </row>
    <row r="18" spans="1:4">
      <c r="A18">
        <v>18</v>
      </c>
      <c r="B18" t="s">
        <v>23</v>
      </c>
      <c r="C18" t="s">
        <v>378</v>
      </c>
      <c r="D18" t="s">
        <v>200</v>
      </c>
    </row>
    <row r="19" spans="1:4">
      <c r="A19">
        <v>19</v>
      </c>
      <c r="B19" t="s">
        <v>24</v>
      </c>
      <c r="C19" t="s">
        <v>379</v>
      </c>
      <c r="D19" t="s">
        <v>199</v>
      </c>
    </row>
    <row r="20" spans="1:4">
      <c r="A20">
        <v>20</v>
      </c>
      <c r="B20" t="s">
        <v>25</v>
      </c>
      <c r="C20" t="s">
        <v>380</v>
      </c>
      <c r="D20" t="s">
        <v>203</v>
      </c>
    </row>
    <row r="21" spans="1:4">
      <c r="A21">
        <v>21</v>
      </c>
      <c r="B21" t="s">
        <v>26</v>
      </c>
      <c r="C21" t="s">
        <v>381</v>
      </c>
      <c r="D21" t="s">
        <v>200</v>
      </c>
    </row>
    <row r="22" spans="1:4">
      <c r="A22">
        <v>22</v>
      </c>
      <c r="B22" t="s">
        <v>27</v>
      </c>
      <c r="C22" t="s">
        <v>382</v>
      </c>
      <c r="D22" t="s">
        <v>200</v>
      </c>
    </row>
    <row r="23" spans="1:4">
      <c r="A23">
        <v>23</v>
      </c>
      <c r="B23" t="s">
        <v>28</v>
      </c>
      <c r="C23" t="s">
        <v>383</v>
      </c>
      <c r="D23" t="s">
        <v>203</v>
      </c>
    </row>
    <row r="24" spans="1:4">
      <c r="A24">
        <v>24</v>
      </c>
      <c r="B24" t="s">
        <v>29</v>
      </c>
      <c r="C24" t="s">
        <v>384</v>
      </c>
      <c r="D24" t="s">
        <v>200</v>
      </c>
    </row>
    <row r="25" spans="1:4">
      <c r="A25">
        <v>25</v>
      </c>
      <c r="B25" t="s">
        <v>30</v>
      </c>
      <c r="C25" t="s">
        <v>385</v>
      </c>
      <c r="D25" t="s">
        <v>201</v>
      </c>
    </row>
    <row r="26" spans="1:4">
      <c r="A26">
        <v>26</v>
      </c>
      <c r="B26" t="s">
        <v>31</v>
      </c>
      <c r="C26" t="s">
        <v>386</v>
      </c>
      <c r="D26" t="s">
        <v>200</v>
      </c>
    </row>
    <row r="27" spans="1:4">
      <c r="A27">
        <v>27</v>
      </c>
      <c r="B27" t="s">
        <v>32</v>
      </c>
      <c r="C27" t="s">
        <v>387</v>
      </c>
      <c r="D27" t="s">
        <v>200</v>
      </c>
    </row>
    <row r="28" spans="1:4">
      <c r="A28">
        <v>28</v>
      </c>
      <c r="B28" t="s">
        <v>33</v>
      </c>
      <c r="C28" t="s">
        <v>388</v>
      </c>
      <c r="D28" t="s">
        <v>199</v>
      </c>
    </row>
    <row r="29" spans="1:4">
      <c r="A29">
        <v>29</v>
      </c>
      <c r="B29" t="s">
        <v>34</v>
      </c>
      <c r="C29" t="s">
        <v>389</v>
      </c>
      <c r="D29" t="s">
        <v>203</v>
      </c>
    </row>
    <row r="30" spans="1:4">
      <c r="A30">
        <v>30</v>
      </c>
      <c r="B30" t="s">
        <v>35</v>
      </c>
      <c r="C30" t="s">
        <v>390</v>
      </c>
      <c r="D30" t="s">
        <v>199</v>
      </c>
    </row>
    <row r="31" spans="1:4">
      <c r="A31">
        <v>31</v>
      </c>
      <c r="B31" t="s">
        <v>36</v>
      </c>
      <c r="C31" t="s">
        <v>391</v>
      </c>
      <c r="D31" t="s">
        <v>200</v>
      </c>
    </row>
    <row r="32" spans="1:4">
      <c r="A32">
        <v>32</v>
      </c>
      <c r="B32" t="s">
        <v>37</v>
      </c>
      <c r="C32" t="s">
        <v>392</v>
      </c>
      <c r="D32" t="s">
        <v>199</v>
      </c>
    </row>
    <row r="33" spans="1:4">
      <c r="A33">
        <v>33</v>
      </c>
      <c r="B33" t="s">
        <v>38</v>
      </c>
      <c r="C33" t="s">
        <v>393</v>
      </c>
      <c r="D33" t="s">
        <v>203</v>
      </c>
    </row>
    <row r="34" spans="1:4">
      <c r="A34">
        <v>34</v>
      </c>
      <c r="B34" t="s">
        <v>39</v>
      </c>
      <c r="C34" t="s">
        <v>394</v>
      </c>
      <c r="D34" t="s">
        <v>199</v>
      </c>
    </row>
    <row r="35" spans="1:4">
      <c r="A35">
        <v>35</v>
      </c>
      <c r="B35" t="s">
        <v>40</v>
      </c>
      <c r="C35" t="s">
        <v>395</v>
      </c>
      <c r="D35" t="s">
        <v>201</v>
      </c>
    </row>
    <row r="36" spans="1:4">
      <c r="A36">
        <v>36</v>
      </c>
      <c r="B36" t="s">
        <v>41</v>
      </c>
      <c r="C36" t="s">
        <v>396</v>
      </c>
      <c r="D36" t="s">
        <v>201</v>
      </c>
    </row>
    <row r="37" spans="1:4">
      <c r="A37">
        <v>37</v>
      </c>
      <c r="B37" t="s">
        <v>42</v>
      </c>
      <c r="C37" t="s">
        <v>397</v>
      </c>
      <c r="D37" t="s">
        <v>201</v>
      </c>
    </row>
    <row r="38" spans="1:4">
      <c r="A38">
        <v>38</v>
      </c>
      <c r="B38" t="s">
        <v>43</v>
      </c>
      <c r="C38" t="s">
        <v>398</v>
      </c>
      <c r="D38" t="s">
        <v>199</v>
      </c>
    </row>
    <row r="39" spans="1:4">
      <c r="A39">
        <v>39</v>
      </c>
      <c r="B39" t="s">
        <v>44</v>
      </c>
      <c r="C39" t="s">
        <v>399</v>
      </c>
      <c r="D39" t="s">
        <v>199</v>
      </c>
    </row>
    <row r="40" spans="1:4">
      <c r="A40">
        <v>40</v>
      </c>
      <c r="B40" t="s">
        <v>45</v>
      </c>
      <c r="C40" t="s">
        <v>400</v>
      </c>
      <c r="D40" t="s">
        <v>203</v>
      </c>
    </row>
    <row r="41" spans="1:4">
      <c r="A41">
        <v>41</v>
      </c>
      <c r="B41" t="s">
        <v>46</v>
      </c>
      <c r="C41" t="s">
        <v>401</v>
      </c>
      <c r="D41" t="s">
        <v>199</v>
      </c>
    </row>
    <row r="42" spans="1:4">
      <c r="A42">
        <v>42</v>
      </c>
      <c r="B42" t="s">
        <v>47</v>
      </c>
      <c r="C42" t="s">
        <v>402</v>
      </c>
      <c r="D42" t="s">
        <v>200</v>
      </c>
    </row>
    <row r="43" spans="1:4">
      <c r="A43">
        <v>43</v>
      </c>
      <c r="B43" t="s">
        <v>48</v>
      </c>
      <c r="C43" t="s">
        <v>403</v>
      </c>
      <c r="D43" t="s">
        <v>200</v>
      </c>
    </row>
    <row r="44" spans="1:4">
      <c r="A44">
        <v>44</v>
      </c>
      <c r="B44" t="s">
        <v>49</v>
      </c>
      <c r="C44" t="s">
        <v>404</v>
      </c>
      <c r="D44" t="s">
        <v>203</v>
      </c>
    </row>
    <row r="45" spans="1:4">
      <c r="A45">
        <v>45</v>
      </c>
      <c r="B45" t="s">
        <v>50</v>
      </c>
      <c r="C45" t="s">
        <v>405</v>
      </c>
      <c r="D45" t="s">
        <v>200</v>
      </c>
    </row>
    <row r="46" spans="1:4">
      <c r="A46">
        <v>46</v>
      </c>
      <c r="B46" t="s">
        <v>51</v>
      </c>
      <c r="C46" t="s">
        <v>406</v>
      </c>
      <c r="D46" t="s">
        <v>201</v>
      </c>
    </row>
    <row r="47" spans="1:4">
      <c r="A47">
        <v>47</v>
      </c>
      <c r="B47" t="s">
        <v>52</v>
      </c>
      <c r="C47" t="s">
        <v>407</v>
      </c>
      <c r="D47" t="s">
        <v>201</v>
      </c>
    </row>
    <row r="48" spans="1:4">
      <c r="A48">
        <v>48</v>
      </c>
      <c r="B48" t="s">
        <v>53</v>
      </c>
      <c r="C48" t="s">
        <v>408</v>
      </c>
      <c r="D48" t="s">
        <v>200</v>
      </c>
    </row>
    <row r="49" spans="1:4">
      <c r="A49">
        <v>49</v>
      </c>
      <c r="B49" t="s">
        <v>54</v>
      </c>
      <c r="C49" t="s">
        <v>409</v>
      </c>
      <c r="D49" t="s">
        <v>200</v>
      </c>
    </row>
    <row r="50" spans="1:4">
      <c r="A50">
        <v>50</v>
      </c>
      <c r="B50" t="s">
        <v>55</v>
      </c>
      <c r="C50" t="s">
        <v>410</v>
      </c>
      <c r="D50" t="s">
        <v>203</v>
      </c>
    </row>
    <row r="51" spans="1:4">
      <c r="A51">
        <v>51</v>
      </c>
      <c r="B51" t="s">
        <v>56</v>
      </c>
      <c r="C51" t="s">
        <v>411</v>
      </c>
      <c r="D51" t="s">
        <v>201</v>
      </c>
    </row>
    <row r="52" spans="1:4">
      <c r="A52">
        <v>52</v>
      </c>
      <c r="B52" t="s">
        <v>57</v>
      </c>
      <c r="C52" t="s">
        <v>412</v>
      </c>
      <c r="D52" t="s">
        <v>203</v>
      </c>
    </row>
    <row r="53" spans="1:4">
      <c r="A53">
        <v>54</v>
      </c>
      <c r="B53" t="s">
        <v>58</v>
      </c>
      <c r="C53" t="s">
        <v>413</v>
      </c>
      <c r="D53" t="s">
        <v>200</v>
      </c>
    </row>
    <row r="54" spans="1:4">
      <c r="A54">
        <v>55</v>
      </c>
      <c r="B54" t="s">
        <v>59</v>
      </c>
      <c r="C54" t="s">
        <v>414</v>
      </c>
      <c r="D54" t="s">
        <v>201</v>
      </c>
    </row>
    <row r="55" spans="1:4">
      <c r="A55">
        <v>56</v>
      </c>
      <c r="B55" t="s">
        <v>60</v>
      </c>
      <c r="C55" t="s">
        <v>415</v>
      </c>
      <c r="D55" t="s">
        <v>199</v>
      </c>
    </row>
    <row r="56" spans="1:4">
      <c r="A56">
        <v>57</v>
      </c>
      <c r="B56" t="s">
        <v>61</v>
      </c>
      <c r="C56" t="s">
        <v>416</v>
      </c>
      <c r="D56" t="s">
        <v>200</v>
      </c>
    </row>
    <row r="57" spans="1:4">
      <c r="A57">
        <v>58</v>
      </c>
      <c r="B57" t="s">
        <v>62</v>
      </c>
      <c r="C57" t="s">
        <v>417</v>
      </c>
      <c r="D57" t="s">
        <v>200</v>
      </c>
    </row>
    <row r="58" spans="1:4">
      <c r="A58">
        <v>59</v>
      </c>
      <c r="B58" t="s">
        <v>63</v>
      </c>
      <c r="C58" t="s">
        <v>418</v>
      </c>
      <c r="D58" t="s">
        <v>199</v>
      </c>
    </row>
    <row r="59" spans="1:4">
      <c r="A59">
        <v>60</v>
      </c>
      <c r="B59" t="s">
        <v>64</v>
      </c>
      <c r="C59" t="s">
        <v>419</v>
      </c>
      <c r="D59" t="s">
        <v>199</v>
      </c>
    </row>
    <row r="60" spans="1:4">
      <c r="A60">
        <v>61</v>
      </c>
      <c r="B60" t="s">
        <v>65</v>
      </c>
      <c r="C60" t="s">
        <v>420</v>
      </c>
      <c r="D60" t="s">
        <v>199</v>
      </c>
    </row>
    <row r="61" spans="1:4">
      <c r="A61">
        <v>62</v>
      </c>
      <c r="B61" t="s">
        <v>66</v>
      </c>
      <c r="C61" t="s">
        <v>421</v>
      </c>
      <c r="D61" t="s">
        <v>197</v>
      </c>
    </row>
    <row r="62" spans="1:4">
      <c r="A62">
        <v>63</v>
      </c>
      <c r="B62" t="s">
        <v>67</v>
      </c>
      <c r="C62" t="s">
        <v>422</v>
      </c>
      <c r="D62" t="s">
        <v>203</v>
      </c>
    </row>
    <row r="63" spans="1:4">
      <c r="A63">
        <v>64</v>
      </c>
      <c r="B63" t="s">
        <v>68</v>
      </c>
      <c r="C63" t="s">
        <v>423</v>
      </c>
      <c r="D63" t="s">
        <v>201</v>
      </c>
    </row>
    <row r="64" spans="1:4">
      <c r="A64">
        <v>65</v>
      </c>
      <c r="B64" t="s">
        <v>69</v>
      </c>
      <c r="C64" t="s">
        <v>424</v>
      </c>
      <c r="D64" t="s">
        <v>203</v>
      </c>
    </row>
    <row r="65" spans="1:4">
      <c r="A65">
        <v>66</v>
      </c>
      <c r="B65" t="s">
        <v>70</v>
      </c>
      <c r="C65" t="s">
        <v>425</v>
      </c>
      <c r="D65" t="s">
        <v>203</v>
      </c>
    </row>
    <row r="66" spans="1:4">
      <c r="A66">
        <v>67</v>
      </c>
      <c r="B66" t="s">
        <v>71</v>
      </c>
      <c r="C66" t="s">
        <v>426</v>
      </c>
      <c r="D66" t="s">
        <v>203</v>
      </c>
    </row>
    <row r="67" spans="1:4">
      <c r="A67">
        <v>68</v>
      </c>
      <c r="B67" t="s">
        <v>72</v>
      </c>
      <c r="C67" t="s">
        <v>427</v>
      </c>
      <c r="D67" t="s">
        <v>203</v>
      </c>
    </row>
    <row r="68" spans="1:4">
      <c r="A68">
        <v>69</v>
      </c>
      <c r="B68" t="s">
        <v>73</v>
      </c>
      <c r="C68" t="s">
        <v>428</v>
      </c>
      <c r="D68" t="s">
        <v>201</v>
      </c>
    </row>
    <row r="69" spans="1:4">
      <c r="A69">
        <v>70</v>
      </c>
      <c r="B69" t="s">
        <v>74</v>
      </c>
      <c r="C69" t="s">
        <v>429</v>
      </c>
      <c r="D69" t="s">
        <v>203</v>
      </c>
    </row>
    <row r="70" spans="1:4">
      <c r="A70">
        <v>71</v>
      </c>
      <c r="B70" t="s">
        <v>75</v>
      </c>
      <c r="C70" t="s">
        <v>430</v>
      </c>
      <c r="D70" t="s">
        <v>201</v>
      </c>
    </row>
    <row r="71" spans="1:4">
      <c r="A71">
        <v>72</v>
      </c>
      <c r="B71" t="s">
        <v>76</v>
      </c>
      <c r="C71" t="s">
        <v>431</v>
      </c>
      <c r="D71" t="s">
        <v>200</v>
      </c>
    </row>
    <row r="72" spans="1:4">
      <c r="A72">
        <v>73</v>
      </c>
      <c r="B72" t="s">
        <v>77</v>
      </c>
      <c r="C72" t="s">
        <v>432</v>
      </c>
      <c r="D72" t="s">
        <v>201</v>
      </c>
    </row>
    <row r="73" spans="1:4">
      <c r="A73">
        <v>74</v>
      </c>
      <c r="B73" t="s">
        <v>78</v>
      </c>
      <c r="C73" t="s">
        <v>433</v>
      </c>
      <c r="D73" t="s">
        <v>203</v>
      </c>
    </row>
    <row r="74" spans="1:4">
      <c r="A74">
        <v>75</v>
      </c>
      <c r="B74" t="s">
        <v>79</v>
      </c>
      <c r="C74" t="s">
        <v>434</v>
      </c>
      <c r="D74" t="s">
        <v>203</v>
      </c>
    </row>
    <row r="75" spans="1:4">
      <c r="A75">
        <v>76</v>
      </c>
      <c r="B75" t="s">
        <v>80</v>
      </c>
      <c r="C75" t="s">
        <v>435</v>
      </c>
      <c r="D75" t="s">
        <v>200</v>
      </c>
    </row>
    <row r="76" spans="1:4">
      <c r="A76">
        <v>77</v>
      </c>
      <c r="B76" t="s">
        <v>81</v>
      </c>
      <c r="C76" t="s">
        <v>436</v>
      </c>
      <c r="D76" t="s">
        <v>203</v>
      </c>
    </row>
    <row r="77" spans="1:4">
      <c r="A77">
        <v>78</v>
      </c>
      <c r="B77" t="s">
        <v>82</v>
      </c>
      <c r="C77" t="s">
        <v>437</v>
      </c>
      <c r="D77" t="s">
        <v>203</v>
      </c>
    </row>
    <row r="78" spans="1:4">
      <c r="A78">
        <v>79</v>
      </c>
      <c r="B78" t="s">
        <v>83</v>
      </c>
      <c r="C78" t="s">
        <v>438</v>
      </c>
      <c r="D78" t="s">
        <v>197</v>
      </c>
    </row>
    <row r="79" spans="1:4">
      <c r="A79">
        <v>80</v>
      </c>
      <c r="B79" t="s">
        <v>84</v>
      </c>
      <c r="C79" t="s">
        <v>439</v>
      </c>
      <c r="D79" t="s">
        <v>203</v>
      </c>
    </row>
    <row r="80" spans="1:4">
      <c r="A80">
        <v>81</v>
      </c>
      <c r="B80" t="s">
        <v>85</v>
      </c>
      <c r="C80" t="s">
        <v>440</v>
      </c>
      <c r="D80" t="s">
        <v>203</v>
      </c>
    </row>
    <row r="81" spans="1:4">
      <c r="A81">
        <v>82</v>
      </c>
      <c r="B81" t="s">
        <v>86</v>
      </c>
      <c r="C81" t="s">
        <v>441</v>
      </c>
      <c r="D81" t="s">
        <v>203</v>
      </c>
    </row>
    <row r="82" spans="1:4">
      <c r="A82">
        <v>83</v>
      </c>
      <c r="B82" t="s">
        <v>87</v>
      </c>
      <c r="C82" t="s">
        <v>442</v>
      </c>
      <c r="D82" t="s">
        <v>203</v>
      </c>
    </row>
    <row r="83" spans="1:4">
      <c r="A83">
        <v>84</v>
      </c>
      <c r="B83" t="s">
        <v>88</v>
      </c>
      <c r="C83" t="s">
        <v>443</v>
      </c>
      <c r="D83" t="s">
        <v>203</v>
      </c>
    </row>
    <row r="84" spans="1:4">
      <c r="A84">
        <v>85</v>
      </c>
      <c r="B84" t="s">
        <v>89</v>
      </c>
      <c r="C84" t="s">
        <v>444</v>
      </c>
      <c r="D84" t="s">
        <v>200</v>
      </c>
    </row>
    <row r="85" spans="1:4">
      <c r="A85">
        <v>86</v>
      </c>
      <c r="B85" t="s">
        <v>90</v>
      </c>
      <c r="C85" t="s">
        <v>445</v>
      </c>
      <c r="D85" t="s">
        <v>200</v>
      </c>
    </row>
    <row r="86" spans="1:4">
      <c r="A86">
        <v>87</v>
      </c>
      <c r="B86" t="s">
        <v>91</v>
      </c>
      <c r="C86" t="s">
        <v>446</v>
      </c>
      <c r="D86" t="s">
        <v>203</v>
      </c>
    </row>
    <row r="87" spans="1:4">
      <c r="A87">
        <v>88</v>
      </c>
      <c r="B87" t="s">
        <v>92</v>
      </c>
      <c r="C87" t="s">
        <v>447</v>
      </c>
      <c r="D87" t="s">
        <v>203</v>
      </c>
    </row>
    <row r="88" spans="1:4">
      <c r="A88">
        <v>89</v>
      </c>
      <c r="B88" t="s">
        <v>93</v>
      </c>
      <c r="C88" t="s">
        <v>448</v>
      </c>
      <c r="D88" t="s">
        <v>201</v>
      </c>
    </row>
    <row r="89" spans="1:4">
      <c r="A89">
        <v>90</v>
      </c>
      <c r="B89" t="s">
        <v>94</v>
      </c>
      <c r="C89" t="s">
        <v>449</v>
      </c>
      <c r="D89" t="s">
        <v>203</v>
      </c>
    </row>
    <row r="90" spans="1:4">
      <c r="A90">
        <v>91</v>
      </c>
      <c r="B90" t="s">
        <v>95</v>
      </c>
      <c r="C90" t="s">
        <v>450</v>
      </c>
      <c r="D90" t="s">
        <v>200</v>
      </c>
    </row>
    <row r="91" spans="1:4">
      <c r="A91">
        <v>92</v>
      </c>
      <c r="B91" t="s">
        <v>96</v>
      </c>
      <c r="C91" t="s">
        <v>451</v>
      </c>
      <c r="D91" t="s">
        <v>200</v>
      </c>
    </row>
    <row r="92" spans="1:4">
      <c r="A92">
        <v>93</v>
      </c>
      <c r="B92" t="s">
        <v>97</v>
      </c>
      <c r="C92" t="s">
        <v>452</v>
      </c>
      <c r="D92" t="s">
        <v>203</v>
      </c>
    </row>
    <row r="93" spans="1:4">
      <c r="A93">
        <v>94</v>
      </c>
      <c r="B93" t="s">
        <v>98</v>
      </c>
      <c r="C93" t="s">
        <v>453</v>
      </c>
      <c r="D93" t="s">
        <v>200</v>
      </c>
    </row>
    <row r="94" spans="1:4">
      <c r="A94">
        <v>95</v>
      </c>
      <c r="B94" t="s">
        <v>99</v>
      </c>
      <c r="C94" t="s">
        <v>454</v>
      </c>
      <c r="D94" t="s">
        <v>200</v>
      </c>
    </row>
    <row r="95" spans="1:4">
      <c r="A95">
        <v>96</v>
      </c>
      <c r="B95" t="s">
        <v>100</v>
      </c>
      <c r="C95" t="s">
        <v>455</v>
      </c>
      <c r="D95" t="s">
        <v>200</v>
      </c>
    </row>
    <row r="96" spans="1:4">
      <c r="A96">
        <v>97</v>
      </c>
      <c r="B96" t="s">
        <v>101</v>
      </c>
      <c r="C96" t="s">
        <v>456</v>
      </c>
      <c r="D96" t="s">
        <v>199</v>
      </c>
    </row>
    <row r="97" spans="1:4">
      <c r="A97">
        <v>98</v>
      </c>
      <c r="B97" t="s">
        <v>102</v>
      </c>
      <c r="C97" t="s">
        <v>457</v>
      </c>
      <c r="D97" t="s">
        <v>203</v>
      </c>
    </row>
    <row r="98" spans="1:4">
      <c r="A98">
        <v>99</v>
      </c>
      <c r="B98" t="s">
        <v>103</v>
      </c>
      <c r="C98" t="s">
        <v>458</v>
      </c>
      <c r="D98" t="s">
        <v>203</v>
      </c>
    </row>
    <row r="99" spans="1:4">
      <c r="A99">
        <v>100</v>
      </c>
      <c r="B99" t="s">
        <v>104</v>
      </c>
      <c r="C99" t="s">
        <v>459</v>
      </c>
      <c r="D99" t="s">
        <v>203</v>
      </c>
    </row>
    <row r="100" spans="1:4">
      <c r="A100">
        <v>101</v>
      </c>
      <c r="B100" t="s">
        <v>105</v>
      </c>
      <c r="C100" t="s">
        <v>460</v>
      </c>
      <c r="D100" t="s">
        <v>203</v>
      </c>
    </row>
    <row r="101" spans="1:4">
      <c r="A101">
        <v>102</v>
      </c>
      <c r="B101" t="s">
        <v>106</v>
      </c>
      <c r="C101" t="s">
        <v>461</v>
      </c>
      <c r="D101" t="s">
        <v>200</v>
      </c>
    </row>
    <row r="102" spans="1:4">
      <c r="A102">
        <v>103</v>
      </c>
      <c r="B102" t="s">
        <v>107</v>
      </c>
      <c r="C102" t="s">
        <v>462</v>
      </c>
      <c r="D102" t="s">
        <v>203</v>
      </c>
    </row>
    <row r="103" spans="1:4">
      <c r="A103">
        <v>104</v>
      </c>
      <c r="B103" t="s">
        <v>108</v>
      </c>
      <c r="C103" t="s">
        <v>463</v>
      </c>
      <c r="D103" t="s">
        <v>200</v>
      </c>
    </row>
    <row r="104" spans="1:4">
      <c r="A104">
        <v>105</v>
      </c>
      <c r="B104" t="s">
        <v>109</v>
      </c>
      <c r="C104" t="s">
        <v>464</v>
      </c>
      <c r="D104" t="s">
        <v>203</v>
      </c>
    </row>
    <row r="105" spans="1:4">
      <c r="A105">
        <v>106</v>
      </c>
      <c r="B105" t="s">
        <v>110</v>
      </c>
      <c r="C105" t="s">
        <v>465</v>
      </c>
      <c r="D105" t="s">
        <v>201</v>
      </c>
    </row>
    <row r="106" spans="1:4">
      <c r="A106">
        <v>107</v>
      </c>
      <c r="B106" t="s">
        <v>111</v>
      </c>
      <c r="C106" t="s">
        <v>466</v>
      </c>
      <c r="D106" t="s">
        <v>201</v>
      </c>
    </row>
    <row r="107" spans="1:4">
      <c r="A107">
        <v>108</v>
      </c>
      <c r="B107" t="s">
        <v>112</v>
      </c>
      <c r="C107" t="s">
        <v>467</v>
      </c>
      <c r="D107" t="s">
        <v>199</v>
      </c>
    </row>
    <row r="108" spans="1:4">
      <c r="A108">
        <v>109</v>
      </c>
      <c r="B108" t="s">
        <v>113</v>
      </c>
      <c r="C108" t="s">
        <v>468</v>
      </c>
      <c r="D108" t="s">
        <v>200</v>
      </c>
    </row>
    <row r="109" spans="1:4">
      <c r="A109">
        <v>110</v>
      </c>
      <c r="B109" t="s">
        <v>114</v>
      </c>
      <c r="C109" t="s">
        <v>469</v>
      </c>
      <c r="D109" t="s">
        <v>200</v>
      </c>
    </row>
    <row r="110" spans="1:4">
      <c r="A110">
        <v>111</v>
      </c>
      <c r="B110" t="s">
        <v>115</v>
      </c>
      <c r="C110" t="s">
        <v>470</v>
      </c>
      <c r="D110" t="s">
        <v>201</v>
      </c>
    </row>
    <row r="111" spans="1:4">
      <c r="A111">
        <v>112</v>
      </c>
      <c r="B111" t="s">
        <v>116</v>
      </c>
      <c r="C111" t="s">
        <v>471</v>
      </c>
      <c r="D111" t="s">
        <v>203</v>
      </c>
    </row>
    <row r="112" spans="1:4">
      <c r="A112">
        <v>114</v>
      </c>
      <c r="B112" t="s">
        <v>117</v>
      </c>
      <c r="C112" t="s">
        <v>472</v>
      </c>
      <c r="D112" t="s">
        <v>203</v>
      </c>
    </row>
    <row r="113" spans="1:4">
      <c r="A113">
        <v>115</v>
      </c>
      <c r="B113" t="s">
        <v>118</v>
      </c>
      <c r="C113" t="s">
        <v>473</v>
      </c>
      <c r="D113" t="s">
        <v>199</v>
      </c>
    </row>
    <row r="114" spans="1:4">
      <c r="A114">
        <v>116</v>
      </c>
      <c r="B114" t="s">
        <v>119</v>
      </c>
      <c r="C114" t="s">
        <v>474</v>
      </c>
      <c r="D114" t="s">
        <v>203</v>
      </c>
    </row>
    <row r="115" spans="1:4">
      <c r="A115">
        <v>117</v>
      </c>
      <c r="B115" t="s">
        <v>120</v>
      </c>
      <c r="C115" t="s">
        <v>475</v>
      </c>
      <c r="D115" t="s">
        <v>199</v>
      </c>
    </row>
    <row r="116" spans="1:4">
      <c r="A116">
        <v>118</v>
      </c>
      <c r="B116" t="s">
        <v>121</v>
      </c>
      <c r="C116" t="s">
        <v>476</v>
      </c>
      <c r="D116" t="s">
        <v>199</v>
      </c>
    </row>
    <row r="117" spans="1:4">
      <c r="A117">
        <v>119</v>
      </c>
      <c r="B117" t="s">
        <v>122</v>
      </c>
      <c r="C117" t="s">
        <v>477</v>
      </c>
      <c r="D117" t="s">
        <v>203</v>
      </c>
    </row>
    <row r="118" spans="1:4">
      <c r="A118">
        <v>120</v>
      </c>
      <c r="B118" t="s">
        <v>123</v>
      </c>
      <c r="C118" t="s">
        <v>478</v>
      </c>
      <c r="D118" t="s">
        <v>203</v>
      </c>
    </row>
    <row r="119" spans="1:4">
      <c r="A119">
        <v>121</v>
      </c>
      <c r="B119" t="s">
        <v>124</v>
      </c>
      <c r="C119" t="s">
        <v>479</v>
      </c>
      <c r="D119" t="s">
        <v>201</v>
      </c>
    </row>
    <row r="120" spans="1:4">
      <c r="A120">
        <v>122</v>
      </c>
      <c r="B120" t="s">
        <v>125</v>
      </c>
      <c r="C120" t="s">
        <v>480</v>
      </c>
      <c r="D120" t="s">
        <v>203</v>
      </c>
    </row>
    <row r="121" spans="1:4">
      <c r="A121">
        <v>123</v>
      </c>
      <c r="B121" t="s">
        <v>126</v>
      </c>
      <c r="C121" t="s">
        <v>481</v>
      </c>
      <c r="D121" t="s">
        <v>203</v>
      </c>
    </row>
    <row r="122" spans="1:4">
      <c r="A122">
        <v>124</v>
      </c>
      <c r="B122" t="s">
        <v>127</v>
      </c>
      <c r="C122" t="s">
        <v>482</v>
      </c>
      <c r="D122" t="s">
        <v>200</v>
      </c>
    </row>
    <row r="123" spans="1:4">
      <c r="A123">
        <v>125</v>
      </c>
      <c r="B123" t="s">
        <v>128</v>
      </c>
      <c r="C123" t="s">
        <v>483</v>
      </c>
      <c r="D123" t="s">
        <v>203</v>
      </c>
    </row>
    <row r="124" spans="1:4">
      <c r="A124">
        <v>126</v>
      </c>
      <c r="B124" t="s">
        <v>129</v>
      </c>
      <c r="C124" t="s">
        <v>484</v>
      </c>
      <c r="D124" t="s">
        <v>200</v>
      </c>
    </row>
    <row r="125" spans="1:4">
      <c r="A125">
        <v>127</v>
      </c>
      <c r="B125" t="s">
        <v>130</v>
      </c>
      <c r="C125" t="s">
        <v>485</v>
      </c>
      <c r="D125" t="s">
        <v>203</v>
      </c>
    </row>
    <row r="126" spans="1:4">
      <c r="A126">
        <v>128</v>
      </c>
      <c r="B126" t="s">
        <v>131</v>
      </c>
      <c r="C126" t="s">
        <v>486</v>
      </c>
      <c r="D126" t="s">
        <v>203</v>
      </c>
    </row>
    <row r="127" spans="1:4">
      <c r="A127">
        <v>129</v>
      </c>
      <c r="B127" t="s">
        <v>132</v>
      </c>
      <c r="C127" t="s">
        <v>487</v>
      </c>
      <c r="D127" t="s">
        <v>200</v>
      </c>
    </row>
    <row r="128" spans="1:4">
      <c r="A128">
        <v>130</v>
      </c>
      <c r="B128" t="s">
        <v>133</v>
      </c>
      <c r="C128" t="s">
        <v>488</v>
      </c>
      <c r="D128" t="s">
        <v>197</v>
      </c>
    </row>
    <row r="129" spans="1:4">
      <c r="A129">
        <v>131</v>
      </c>
      <c r="B129" t="s">
        <v>134</v>
      </c>
      <c r="C129" t="s">
        <v>489</v>
      </c>
      <c r="D129" t="s">
        <v>203</v>
      </c>
    </row>
    <row r="130" spans="1:4">
      <c r="A130">
        <v>132</v>
      </c>
      <c r="B130" t="s">
        <v>135</v>
      </c>
      <c r="C130" t="s">
        <v>490</v>
      </c>
      <c r="D130" t="s">
        <v>203</v>
      </c>
    </row>
    <row r="131" spans="1:4">
      <c r="A131">
        <v>133</v>
      </c>
      <c r="B131" t="s">
        <v>136</v>
      </c>
      <c r="C131" t="s">
        <v>491</v>
      </c>
      <c r="D131" t="s">
        <v>200</v>
      </c>
    </row>
    <row r="132" spans="1:4">
      <c r="A132">
        <v>134</v>
      </c>
      <c r="B132" t="s">
        <v>137</v>
      </c>
      <c r="C132" t="s">
        <v>492</v>
      </c>
      <c r="D132" t="s">
        <v>200</v>
      </c>
    </row>
    <row r="133" spans="1:4">
      <c r="A133">
        <v>135</v>
      </c>
      <c r="B133" t="s">
        <v>138</v>
      </c>
      <c r="C133" t="s">
        <v>493</v>
      </c>
      <c r="D133" t="s">
        <v>201</v>
      </c>
    </row>
    <row r="134" spans="1:4">
      <c r="A134">
        <v>136</v>
      </c>
      <c r="B134" t="s">
        <v>139</v>
      </c>
      <c r="C134" t="s">
        <v>494</v>
      </c>
      <c r="D134" t="s">
        <v>203</v>
      </c>
    </row>
    <row r="135" spans="1:4">
      <c r="A135">
        <v>137</v>
      </c>
      <c r="B135" t="s">
        <v>140</v>
      </c>
      <c r="C135" t="s">
        <v>495</v>
      </c>
      <c r="D135" t="s">
        <v>200</v>
      </c>
    </row>
    <row r="136" spans="1:4">
      <c r="A136">
        <v>138</v>
      </c>
      <c r="B136" t="s">
        <v>141</v>
      </c>
      <c r="C136" t="s">
        <v>496</v>
      </c>
      <c r="D136" t="s">
        <v>199</v>
      </c>
    </row>
    <row r="137" spans="1:4">
      <c r="A137">
        <v>139</v>
      </c>
      <c r="B137" t="s">
        <v>142</v>
      </c>
      <c r="C137" t="s">
        <v>497</v>
      </c>
      <c r="D137" t="s">
        <v>200</v>
      </c>
    </row>
    <row r="138" spans="1:4">
      <c r="A138">
        <v>140</v>
      </c>
      <c r="B138" t="s">
        <v>143</v>
      </c>
      <c r="C138" t="s">
        <v>498</v>
      </c>
      <c r="D138" t="s">
        <v>201</v>
      </c>
    </row>
    <row r="139" spans="1:4">
      <c r="A139">
        <v>141</v>
      </c>
      <c r="B139" t="s">
        <v>144</v>
      </c>
      <c r="C139" t="s">
        <v>499</v>
      </c>
      <c r="D139" t="s">
        <v>201</v>
      </c>
    </row>
    <row r="140" spans="1:4">
      <c r="A140">
        <v>142</v>
      </c>
      <c r="B140" t="s">
        <v>145</v>
      </c>
      <c r="C140" t="s">
        <v>500</v>
      </c>
      <c r="D140" t="s">
        <v>203</v>
      </c>
    </row>
    <row r="141" spans="1:4">
      <c r="A141">
        <v>143</v>
      </c>
      <c r="B141" t="s">
        <v>146</v>
      </c>
      <c r="C141" t="s">
        <v>501</v>
      </c>
      <c r="D141" t="s">
        <v>197</v>
      </c>
    </row>
    <row r="142" spans="1:4">
      <c r="A142">
        <v>144</v>
      </c>
      <c r="B142" t="s">
        <v>147</v>
      </c>
      <c r="C142" t="s">
        <v>502</v>
      </c>
      <c r="D142" t="s">
        <v>203</v>
      </c>
    </row>
    <row r="143" spans="1:4">
      <c r="A143">
        <v>145</v>
      </c>
      <c r="B143" t="s">
        <v>148</v>
      </c>
      <c r="C143" t="s">
        <v>503</v>
      </c>
      <c r="D143" t="s">
        <v>200</v>
      </c>
    </row>
    <row r="144" spans="1:4">
      <c r="A144">
        <v>146</v>
      </c>
      <c r="B144" t="s">
        <v>149</v>
      </c>
      <c r="C144" t="s">
        <v>504</v>
      </c>
      <c r="D144" t="s">
        <v>203</v>
      </c>
    </row>
    <row r="145" spans="1:4">
      <c r="A145">
        <v>147</v>
      </c>
      <c r="B145" t="s">
        <v>150</v>
      </c>
      <c r="C145" t="s">
        <v>505</v>
      </c>
      <c r="D145" t="s">
        <v>200</v>
      </c>
    </row>
    <row r="146" spans="1:4">
      <c r="A146">
        <v>148</v>
      </c>
      <c r="B146" t="s">
        <v>151</v>
      </c>
      <c r="C146" t="s">
        <v>506</v>
      </c>
      <c r="D146" t="s">
        <v>203</v>
      </c>
    </row>
    <row r="147" spans="1:4">
      <c r="A147">
        <v>149</v>
      </c>
      <c r="B147" t="s">
        <v>152</v>
      </c>
      <c r="C147" t="s">
        <v>507</v>
      </c>
      <c r="D147" t="s">
        <v>203</v>
      </c>
    </row>
    <row r="148" spans="1:4">
      <c r="A148">
        <v>150</v>
      </c>
      <c r="B148" t="s">
        <v>153</v>
      </c>
      <c r="C148" t="s">
        <v>508</v>
      </c>
      <c r="D148" t="s">
        <v>203</v>
      </c>
    </row>
    <row r="149" spans="1:4">
      <c r="A149">
        <v>151</v>
      </c>
      <c r="B149" t="s">
        <v>154</v>
      </c>
      <c r="C149" t="s">
        <v>509</v>
      </c>
      <c r="D149" t="s">
        <v>203</v>
      </c>
    </row>
    <row r="150" spans="1:4">
      <c r="A150">
        <v>152</v>
      </c>
      <c r="B150" t="s">
        <v>155</v>
      </c>
      <c r="C150" t="s">
        <v>510</v>
      </c>
      <c r="D150" t="s">
        <v>200</v>
      </c>
    </row>
    <row r="151" spans="1:4">
      <c r="A151">
        <v>153</v>
      </c>
      <c r="B151" t="s">
        <v>156</v>
      </c>
      <c r="C151" t="s">
        <v>511</v>
      </c>
      <c r="D151" t="s">
        <v>203</v>
      </c>
    </row>
    <row r="152" spans="1:4">
      <c r="A152">
        <v>154</v>
      </c>
      <c r="B152" t="s">
        <v>157</v>
      </c>
      <c r="C152" t="s">
        <v>512</v>
      </c>
      <c r="D152" t="s">
        <v>198</v>
      </c>
    </row>
    <row r="153" spans="1:4">
      <c r="A153">
        <v>155</v>
      </c>
      <c r="B153" t="s">
        <v>158</v>
      </c>
      <c r="C153" t="s">
        <v>513</v>
      </c>
      <c r="D153" t="s">
        <v>158</v>
      </c>
    </row>
    <row r="154" spans="1:4">
      <c r="A154">
        <v>156</v>
      </c>
      <c r="B154" t="s">
        <v>159</v>
      </c>
      <c r="C154" t="s">
        <v>514</v>
      </c>
      <c r="D154" t="s">
        <v>199</v>
      </c>
    </row>
    <row r="155" spans="1:4">
      <c r="A155">
        <v>158</v>
      </c>
      <c r="B155" t="s">
        <v>160</v>
      </c>
      <c r="C155" t="s">
        <v>515</v>
      </c>
      <c r="D155" t="s">
        <v>203</v>
      </c>
    </row>
    <row r="156" spans="1:4">
      <c r="A156">
        <v>159</v>
      </c>
      <c r="B156" t="s">
        <v>161</v>
      </c>
      <c r="C156" t="s">
        <v>516</v>
      </c>
      <c r="D156" t="s">
        <v>199</v>
      </c>
    </row>
    <row r="157" spans="1:4">
      <c r="A157">
        <v>160</v>
      </c>
      <c r="B157" t="s">
        <v>162</v>
      </c>
      <c r="C157" t="s">
        <v>517</v>
      </c>
      <c r="D157" t="s">
        <v>203</v>
      </c>
    </row>
    <row r="158" spans="1:4">
      <c r="A158">
        <v>161</v>
      </c>
      <c r="B158" t="s">
        <v>163</v>
      </c>
      <c r="C158" t="s">
        <v>518</v>
      </c>
      <c r="D158" t="s">
        <v>203</v>
      </c>
    </row>
    <row r="159" spans="1:4">
      <c r="A159">
        <v>162</v>
      </c>
      <c r="B159" t="s">
        <v>164</v>
      </c>
      <c r="C159" t="s">
        <v>519</v>
      </c>
      <c r="D159" t="s">
        <v>203</v>
      </c>
    </row>
    <row r="160" spans="1:4">
      <c r="A160">
        <v>163</v>
      </c>
      <c r="B160" t="s">
        <v>165</v>
      </c>
      <c r="C160" t="s">
        <v>520</v>
      </c>
      <c r="D160" t="s">
        <v>203</v>
      </c>
    </row>
    <row r="161" spans="1:4">
      <c r="A161">
        <v>164</v>
      </c>
      <c r="B161" t="s">
        <v>166</v>
      </c>
      <c r="C161" t="s">
        <v>521</v>
      </c>
      <c r="D161" t="s">
        <v>203</v>
      </c>
    </row>
    <row r="162" spans="1:4">
      <c r="A162">
        <v>165</v>
      </c>
      <c r="B162" t="s">
        <v>167</v>
      </c>
      <c r="C162" t="s">
        <v>522</v>
      </c>
      <c r="D162" t="s">
        <v>203</v>
      </c>
    </row>
    <row r="163" spans="1:4">
      <c r="A163">
        <v>166</v>
      </c>
      <c r="B163" t="s">
        <v>168</v>
      </c>
      <c r="C163" t="s">
        <v>523</v>
      </c>
      <c r="D163" t="s">
        <v>200</v>
      </c>
    </row>
    <row r="164" spans="1:4">
      <c r="A164">
        <v>167</v>
      </c>
      <c r="B164" t="s">
        <v>169</v>
      </c>
      <c r="C164" t="s">
        <v>524</v>
      </c>
      <c r="D164" t="s">
        <v>200</v>
      </c>
    </row>
    <row r="165" spans="1:4">
      <c r="A165">
        <v>169</v>
      </c>
      <c r="B165" t="s">
        <v>170</v>
      </c>
      <c r="C165" t="s">
        <v>525</v>
      </c>
      <c r="D165" t="s">
        <v>203</v>
      </c>
    </row>
    <row r="166" spans="1:4">
      <c r="A166">
        <v>170</v>
      </c>
      <c r="B166" t="s">
        <v>171</v>
      </c>
      <c r="C166" t="s">
        <v>526</v>
      </c>
      <c r="D166" t="s">
        <v>203</v>
      </c>
    </row>
    <row r="167" spans="1:4">
      <c r="A167">
        <v>171</v>
      </c>
      <c r="B167" t="s">
        <v>172</v>
      </c>
      <c r="C167" t="s">
        <v>527</v>
      </c>
      <c r="D167" t="s">
        <v>203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25</vt:i4>
      </vt:variant>
      <vt:variant>
        <vt:lpstr>Charts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41" baseType="lpstr">
      <vt:lpstr>Description</vt:lpstr>
      <vt:lpstr>Table 1 - Quality of estimates</vt:lpstr>
      <vt:lpstr>Table 2 - Adoption lags and fit</vt:lpstr>
      <vt:lpstr>Table 3 - ANOVA</vt:lpstr>
      <vt:lpstr>Table 4 - Robustness</vt:lpstr>
      <vt:lpstr>Table 5 - Groups</vt:lpstr>
      <vt:lpstr>Table 6 - EATs</vt:lpstr>
      <vt:lpstr>TFP</vt:lpstr>
      <vt:lpstr>Technology FEs table</vt:lpstr>
      <vt:lpstr>US Fit plumbing</vt:lpstr>
      <vt:lpstr>Estimates quality</vt:lpstr>
      <vt:lpstr>Technology sum stats table</vt:lpstr>
      <vt:lpstr>Technology FEs</vt:lpstr>
      <vt:lpstr>Country FEs</vt:lpstr>
      <vt:lpstr>Technology R2s</vt:lpstr>
      <vt:lpstr>Robustness results</vt:lpstr>
      <vt:lpstr>Groups results</vt:lpstr>
      <vt:lpstr>EAT results</vt:lpstr>
      <vt:lpstr>Example data</vt:lpstr>
      <vt:lpstr>Fit data</vt:lpstr>
      <vt:lpstr>US Fit data</vt:lpstr>
      <vt:lpstr>Dev Acc 2000</vt:lpstr>
      <vt:lpstr>Klenow - RC</vt:lpstr>
      <vt:lpstr>List of Technologies</vt:lpstr>
      <vt:lpstr>List of countries</vt:lpstr>
      <vt:lpstr>Chart - Example</vt:lpstr>
      <vt:lpstr>Chart - Fit</vt:lpstr>
      <vt:lpstr>Chart - Technology FEs</vt:lpstr>
      <vt:lpstr>Chart - TFP differentials KRC</vt:lpstr>
      <vt:lpstr>Chart - TFP differentials HJ</vt:lpstr>
      <vt:lpstr>Chart - GDP differentials</vt:lpstr>
      <vt:lpstr>Chart - US Fit</vt:lpstr>
      <vt:lpstr>CountryFEs</vt:lpstr>
      <vt:lpstr>EATtable</vt:lpstr>
      <vt:lpstr>Robustnesspt1</vt:lpstr>
      <vt:lpstr>Robustnesspt2</vt:lpstr>
      <vt:lpstr>Rsquaredpt1</vt:lpstr>
      <vt:lpstr>Rsquaredpt2</vt:lpstr>
      <vt:lpstr>Technology_names</vt:lpstr>
      <vt:lpstr>US_avg_adoption_lag</vt:lpstr>
      <vt:lpstr>USFit_data</vt:lpstr>
    </vt:vector>
  </TitlesOfParts>
  <Company>..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 Hobijn</dc:creator>
  <cp:lastModifiedBy>Bart Hobijn</cp:lastModifiedBy>
  <cp:lastPrinted>2008-02-12T18:39:36Z</cp:lastPrinted>
  <dcterms:created xsi:type="dcterms:W3CDTF">2007-12-26T02:33:05Z</dcterms:created>
  <dcterms:modified xsi:type="dcterms:W3CDTF">2009-08-14T16:32:46Z</dcterms:modified>
</cp:coreProperties>
</file>